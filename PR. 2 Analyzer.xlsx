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Instructions" sheetId="1" state="visible" r:id="rId3"/>
    <sheet name="Dataset" sheetId="2" state="visible" r:id="rId4"/>
    <sheet name="Top 10 Customers" sheetId="3" state="visible" r:id="rId5"/>
    <sheet name="What-If Analysis" sheetId="4" state="visible" r:id="rId6"/>
    <sheet name="Regression" sheetId="5" state="visible" r:id="rId7"/>
    <sheet name="Descriptive Stats" sheetId="6" state="visible" r:id="rId8"/>
    <sheet name="Sales Growth" sheetId="7" state="visible" r:id="rId9"/>
    <sheet name="High-Value Customers" sheetId="8" state="visible" r:id="rId10"/>
    <sheet name="Pivot Table" sheetId="9" state="visible" r:id="rId11"/>
    <sheet name="Dashboard" sheetId="10" state="visible" r:id="rId12"/>
  </sheets>
  <definedNames>
    <definedName function="false" hidden="true" localSheetId="1" name="_xlnm._FilterDatabase" vbProcedure="false">Dataset!$A$1:$J$201</definedName>
    <definedName function="false" hidden="true" localSheetId="7" name="_xlnm._FilterDatabase" vbProcedure="false">'High-Value Customers'!$A$5:$F$35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<sst xmlns="http://schemas.openxmlformats.org/spreadsheetml/2006/main" count="954" uniqueCount="163">
  <si>
    <t xml:space="preserve">PR. 2 Analyzer</t>
  </si>
  <si>
    <t xml:space="preserve">Topics: -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Main Tasks: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Deliverable: Complete the given worksheet by applying the required formulas in respective sheets.</t>
  </si>
  <si>
    <t xml:space="preserve">Customer_ID</t>
  </si>
  <si>
    <t xml:space="preserve">Customer_Name</t>
  </si>
  <si>
    <t xml:space="preserve">Region</t>
  </si>
  <si>
    <t xml:space="preserve">Product_Category</t>
  </si>
  <si>
    <t xml:space="preserve">Sales</t>
  </si>
  <si>
    <t xml:space="preserve">Quantity</t>
  </si>
  <si>
    <t xml:space="preserve">Discount</t>
  </si>
  <si>
    <t xml:space="preserve">Order_Date</t>
  </si>
  <si>
    <t xml:space="preserve">Profit</t>
  </si>
  <si>
    <t xml:space="preserve">Timestamp</t>
  </si>
  <si>
    <t xml:space="preserve">CUST019</t>
  </si>
  <si>
    <t xml:space="preserve">James Davis</t>
  </si>
  <si>
    <t xml:space="preserve">West</t>
  </si>
  <si>
    <t xml:space="preserve">Books</t>
  </si>
  <si>
    <t xml:space="preserve">CUST012</t>
  </si>
  <si>
    <t xml:space="preserve">Robert Anderson</t>
  </si>
  <si>
    <t xml:space="preserve">Clothing</t>
  </si>
  <si>
    <t xml:space="preserve">CUST017</t>
  </si>
  <si>
    <t xml:space="preserve">James Taylor</t>
  </si>
  <si>
    <t xml:space="preserve">East</t>
  </si>
  <si>
    <t xml:space="preserve">CUST005</t>
  </si>
  <si>
    <t xml:space="preserve">South</t>
  </si>
  <si>
    <t xml:space="preserve">Electronics</t>
  </si>
  <si>
    <t xml:space="preserve">CUST030</t>
  </si>
  <si>
    <t xml:space="preserve">James Wilson</t>
  </si>
  <si>
    <t xml:space="preserve">North</t>
  </si>
  <si>
    <t xml:space="preserve">CUST007</t>
  </si>
  <si>
    <t xml:space="preserve">Michael Anderson</t>
  </si>
  <si>
    <t xml:space="preserve">Furniture</t>
  </si>
  <si>
    <t xml:space="preserve">CUST001</t>
  </si>
  <si>
    <t xml:space="preserve">Linda Wilson</t>
  </si>
  <si>
    <t xml:space="preserve">CUST026</t>
  </si>
  <si>
    <t xml:space="preserve">Mary Davis</t>
  </si>
  <si>
    <t xml:space="preserve">CUST009</t>
  </si>
  <si>
    <t xml:space="preserve">Linda Jackson</t>
  </si>
  <si>
    <t xml:space="preserve">Central</t>
  </si>
  <si>
    <t xml:space="preserve">CUST010</t>
  </si>
  <si>
    <t xml:space="preserve">David Thomas</t>
  </si>
  <si>
    <t xml:space="preserve">CUST014</t>
  </si>
  <si>
    <t xml:space="preserve">Emma Davis</t>
  </si>
  <si>
    <t xml:space="preserve">Office Supplies</t>
  </si>
  <si>
    <t xml:space="preserve">CUST023</t>
  </si>
  <si>
    <t xml:space="preserve">CUST029</t>
  </si>
  <si>
    <t xml:space="preserve">David Smith</t>
  </si>
  <si>
    <t xml:space="preserve">Sarah Anderson</t>
  </si>
  <si>
    <t xml:space="preserve">CUST008</t>
  </si>
  <si>
    <t xml:space="preserve">Lisa Thomas</t>
  </si>
  <si>
    <t xml:space="preserve">CUST006</t>
  </si>
  <si>
    <t xml:space="preserve">Mary Jackson</t>
  </si>
  <si>
    <t xml:space="preserve">Lisa Davis</t>
  </si>
  <si>
    <t xml:space="preserve">CUST022</t>
  </si>
  <si>
    <t xml:space="preserve">Linda Brown</t>
  </si>
  <si>
    <t xml:space="preserve">John Brown</t>
  </si>
  <si>
    <t xml:space="preserve">CUST028</t>
  </si>
  <si>
    <t xml:space="preserve">Linda Taylor</t>
  </si>
  <si>
    <t xml:space="preserve">CUST025</t>
  </si>
  <si>
    <t xml:space="preserve">David Brown</t>
  </si>
  <si>
    <t xml:space="preserve">David Davis</t>
  </si>
  <si>
    <t xml:space="preserve">CUST021</t>
  </si>
  <si>
    <t xml:space="preserve">CUST015</t>
  </si>
  <si>
    <t xml:space="preserve">Mary Wilson</t>
  </si>
  <si>
    <t xml:space="preserve">CUST016</t>
  </si>
  <si>
    <t xml:space="preserve">Emma Wilson</t>
  </si>
  <si>
    <t xml:space="preserve">Linda Davis</t>
  </si>
  <si>
    <t xml:space="preserve">CUST011</t>
  </si>
  <si>
    <t xml:space="preserve">Sarah Davis</t>
  </si>
  <si>
    <t xml:space="preserve">CUST002</t>
  </si>
  <si>
    <t xml:space="preserve">Emma Taylor</t>
  </si>
  <si>
    <t xml:space="preserve">CUST003</t>
  </si>
  <si>
    <t xml:space="preserve">CUST020</t>
  </si>
  <si>
    <t xml:space="preserve">Linda Moore</t>
  </si>
  <si>
    <t xml:space="preserve">CUST024</t>
  </si>
  <si>
    <t xml:space="preserve">David Anderson</t>
  </si>
  <si>
    <t xml:space="preserve">CUST004</t>
  </si>
  <si>
    <t xml:space="preserve">CUST013</t>
  </si>
  <si>
    <t xml:space="preserve">CUST027</t>
  </si>
  <si>
    <t xml:space="preserve">CUST018</t>
  </si>
  <si>
    <t xml:space="preserve">Task 1 – Top 10 Customers by Total Purchase (Conditional Formatting)</t>
  </si>
  <si>
    <t xml:space="preserve">Total Purchase (₹)</t>
  </si>
  <si>
    <t xml:space="preserve">Rank</t>
  </si>
  <si>
    <t xml:space="preserve">Highlight rule: green = top 10 customers by total purchase (Top 10 rule on column B).</t>
  </si>
  <si>
    <t xml:space="preserve">Task 2 – What-If Analysis: Impact of Discount on Total Profit</t>
  </si>
  <si>
    <t xml:space="preserve">Total Sales (actual)</t>
  </si>
  <si>
    <t xml:space="preserve">Total Profit (actual)</t>
  </si>
  <si>
    <t xml:space="preserve">Average Discount (actual)</t>
  </si>
  <si>
    <t xml:space="preserve">Total List Price (sales before discount)</t>
  </si>
  <si>
    <t xml:space="preserve">Scenario: New Discount Rate (change me)</t>
  </si>
  <si>
    <t xml:space="preserve">Scenario Total Sales</t>
  </si>
  <si>
    <t xml:space="preserve">Scenario Total Profit</t>
  </si>
  <si>
    <t xml:space="preserve">Change in Profit (₹)</t>
  </si>
  <si>
    <t xml:space="preserve">Change in Profit (%)</t>
  </si>
  <si>
    <t xml:space="preserve">Discount Sensitivity (what-if table)</t>
  </si>
  <si>
    <t xml:space="preserve">Discount Rate</t>
  </si>
  <si>
    <t xml:space="preserve">Total Sales (₹)</t>
  </si>
  <si>
    <t xml:space="preserve">Total Profit (₹)</t>
  </si>
  <si>
    <t xml:space="preserve">Profit Margin</t>
  </si>
  <si>
    <t xml:space="preserve">Assumptions: Sales in the dataset are net of each order's discount, so list price = Sales/(1–Discount). A new discount rate re-prices every order from list price; costs and quantities are held constant, so the entire change in revenue flows through to profit. Blue cells are inputs.</t>
  </si>
  <si>
    <t xml:space="preserve">Task 3 – Linear Regression: Profit (Y) vs Sales (X)  [Analysis ToolPak layout, live formulas]</t>
  </si>
  <si>
    <t xml:space="preserve">SUMMARY OUTPUT</t>
  </si>
  <si>
    <t xml:space="preserve">Regression Statistics</t>
  </si>
  <si>
    <t xml:space="preserve">Multiple R</t>
  </si>
  <si>
    <t xml:space="preserve">R Square</t>
  </si>
  <si>
    <t xml:space="preserve">Adjusted R Square</t>
  </si>
  <si>
    <t xml:space="preserve">Standard Error</t>
  </si>
  <si>
    <t xml:space="preserve">Observations</t>
  </si>
  <si>
    <t xml:space="preserve">ANOVA</t>
  </si>
  <si>
    <t xml:space="preserve">df</t>
  </si>
  <si>
    <t xml:space="preserve">SS</t>
  </si>
  <si>
    <t xml:space="preserve">MS</t>
  </si>
  <si>
    <t xml:space="preserve">F</t>
  </si>
  <si>
    <t xml:space="preserve">Significance F</t>
  </si>
  <si>
    <t xml:space="preserve">Regression</t>
  </si>
  <si>
    <t xml:space="preserve">Residual</t>
  </si>
  <si>
    <t xml:space="preserve">Total</t>
  </si>
  <si>
    <t xml:space="preserve">Coefficients</t>
  </si>
  <si>
    <t xml:space="preserve">t Stat</t>
  </si>
  <si>
    <t xml:space="preserve">P-value</t>
  </si>
  <si>
    <t xml:space="preserve">Lower 95%</t>
  </si>
  <si>
    <t xml:space="preserve">Upper 95%</t>
  </si>
  <si>
    <t xml:space="preserve">Intercept</t>
  </si>
  <si>
    <t xml:space="preserve">Sales (X)</t>
  </si>
  <si>
    <t xml:space="preserve">Fitted equation:</t>
  </si>
  <si>
    <t xml:space="preserve">Interpretation:</t>
  </si>
  <si>
    <t xml:space="preserve">Task 4 – Descriptive Statistics (Analysis ToolPak layout, live formulas)</t>
  </si>
  <si>
    <t xml:space="preserve">Statistic</t>
  </si>
  <si>
    <t xml:space="preserve">Mean</t>
  </si>
  <si>
    <t xml:space="preserve">Median</t>
  </si>
  <si>
    <t xml:space="preserve">Mode</t>
  </si>
  <si>
    <t xml:space="preserve">Standard Deviation</t>
  </si>
  <si>
    <t xml:space="preserve">Sample Variance</t>
  </si>
  <si>
    <t xml:space="preserve">Kurtosis</t>
  </si>
  <si>
    <t xml:space="preserve">Skewness</t>
  </si>
  <si>
    <t xml:space="preserve">Range</t>
  </si>
  <si>
    <t xml:space="preserve">Minimum</t>
  </si>
  <si>
    <t xml:space="preserve">Maximum</t>
  </si>
  <si>
    <t xml:space="preserve">Sum</t>
  </si>
  <si>
    <t xml:space="preserve">Count</t>
  </si>
  <si>
    <t xml:space="preserve">Largest(1)</t>
  </si>
  <si>
    <t xml:space="preserve">Smallest(1)</t>
  </si>
  <si>
    <t xml:space="preserve">Confidence Level(95.0%)</t>
  </si>
  <si>
    <t xml:space="preserve">Mode shows N/A when no value repeats.</t>
  </si>
  <si>
    <t xml:space="preserve">Task 5 – Monthly Sales Growth with Up/Down Arrows (custom number format)</t>
  </si>
  <si>
    <t xml:space="preserve">Month</t>
  </si>
  <si>
    <t xml:space="preserve">MoM Growth %</t>
  </si>
  <si>
    <t xml:space="preserve">n/a</t>
  </si>
  <si>
    <t xml:space="preserve">Task 7 – High-Value Customers (LARGE + INDEX + MATCH, with filters)</t>
  </si>
  <si>
    <t xml:space="preserve">High-value threshold (avg customer total, ₹)</t>
  </si>
  <si>
    <t xml:space="preserve">No. of Orders</t>
  </si>
  <si>
    <t xml:space="preserve">Segment</t>
  </si>
  <si>
    <t xml:space="preserve">Use the filter arrows on row 5 (e.g. Segment = High-Value) to list high-value customers.</t>
  </si>
  <si>
    <t xml:space="preserve">Check: customers ranked</t>
  </si>
  <si>
    <t xml:space="preserve">Task 8 – Total Sales by Region and Product Category</t>
  </si>
  <si>
    <t xml:space="preserve">Sum of Sales (₹)</t>
  </si>
  <si>
    <t xml:space="preserve">Grand Total</t>
  </si>
  <si>
    <t xml:space="preserve">Check vs Dataset</t>
  </si>
  <si>
    <t xml:space="preserve">Sales Dashboard – PR. 2 Analyzer</t>
  </si>
  <si>
    <t xml:space="preserve">Total Sales</t>
  </si>
  <si>
    <t xml:space="preserve">Total Profit</t>
  </si>
  <si>
    <t xml:space="preserve">Orders</t>
  </si>
  <si>
    <t xml:space="preserve">Avg Discount</t>
  </si>
  <si>
    <t xml:space="preserve">Key Insights</t>
  </si>
</sst>
</file>

<file path=xl/styles.xml><?xml version="1.0" encoding="utf-8"?>
<styleSheet xmlns="http://schemas.openxmlformats.org/spreadsheetml/2006/main">
  <numFmts count="16">
    <numFmt numFmtId="164" formatCode="General"/>
    <numFmt numFmtId="165" formatCode="#,##0.00"/>
    <numFmt numFmtId="166" formatCode="0%"/>
    <numFmt numFmtId="167" formatCode="dd\-mmm\-yyyy"/>
    <numFmt numFmtId="168" formatCode="dd\-mmm\-yyyy\ hh:mm:ss"/>
    <numFmt numFmtId="169" formatCode="\₹#,##0"/>
    <numFmt numFmtId="170" formatCode="0.0%"/>
    <numFmt numFmtId="171" formatCode="\₹#,##0;&quot;-₹&quot;#,##0"/>
    <numFmt numFmtId="172" formatCode="0.0%;\-0.0%"/>
    <numFmt numFmtId="173" formatCode="0.0000"/>
    <numFmt numFmtId="174" formatCode="0"/>
    <numFmt numFmtId="175" formatCode="#,##0.0000"/>
    <numFmt numFmtId="176" formatCode="0.00E+00"/>
    <numFmt numFmtId="177" formatCode="mmm\-yyyy"/>
    <numFmt numFmtId="178" formatCode="&quot;▲ &quot;0.0%;[RED]&quot;▼ &quot;0.0%;0.0%"/>
    <numFmt numFmtId="179" formatCode="#,##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color rgb="FFFFFFFF"/>
      <name val="Arial"/>
      <family val="0"/>
      <charset val="1"/>
    </font>
    <font>
      <i val="true"/>
      <sz val="9"/>
      <name val="Arial"/>
      <family val="0"/>
      <charset val="1"/>
    </font>
    <font>
      <b val="true"/>
      <sz val="10"/>
      <name val="Arial"/>
      <family val="0"/>
      <charset val="1"/>
    </font>
    <font>
      <sz val="10"/>
      <color rgb="FF0000FF"/>
      <name val="Arial"/>
      <family val="0"/>
      <charset val="1"/>
    </font>
    <font>
      <b val="true"/>
      <sz val="18"/>
      <color rgb="FF1F3864"/>
      <name val="Arial"/>
      <family val="0"/>
      <charset val="1"/>
    </font>
    <font>
      <b val="true"/>
      <sz val="12"/>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EAF0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74"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7"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78" fontId="5" fillId="0" borderId="1"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9" fontId="8"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9" fontId="4" fillId="4" borderId="1" xfId="0" applyFont="true" applyBorder="true" applyAlignment="true" applyProtection="false">
      <alignment horizontal="center" vertical="bottom" textRotation="0" wrapText="false" indent="0" shrinkToFit="false"/>
      <protection locked="true" hidden="false"/>
    </xf>
    <xf numFmtId="170" fontId="4" fillId="4" borderId="1" xfId="0" applyFont="true" applyBorder="true" applyAlignment="true" applyProtection="false">
      <alignment horizontal="center" vertical="bottom" textRotation="0" wrapText="false" indent="0" shrinkToFit="false"/>
      <protection locked="true" hidden="false"/>
    </xf>
    <xf numFmtId="179" fontId="4" fillId="4"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ont>
        <b val="1"/>
        <color rgb="FF006100"/>
      </font>
      <fill>
        <patternFill>
          <bgColor rgb="FFC6EFCE"/>
        </patternFill>
      </fill>
    </dxf>
    <dxf>
      <fill>
        <patternFill patternType="solid">
          <fgColor rgb="FFC6EFCE"/>
          <bgColor rgb="FF000000"/>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78787"/>
      <rgbColor rgb="FF9999FF"/>
      <rgbColor rgb="FFC0504D"/>
      <rgbColor rgb="FFFFFFCC"/>
      <rgbColor rgb="FFEAF0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4A7EBB"/>
      <rgbColor rgb="FF4BACC6"/>
      <rgbColor rgb="FF9BBB59"/>
      <rgbColor rgb="FFFFCC00"/>
      <rgbColor rgb="FFFF9900"/>
      <rgbColor rgb="FFFF6600"/>
      <rgbColor rgb="FF8064A2"/>
      <rgbColor rgb="FF969696"/>
      <rgbColor rgb="FF1F3864"/>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Sales by Region (₹)</a:t>
            </a:r>
          </a:p>
        </c:rich>
      </c:tx>
      <c:overlay val="0"/>
      <c:spPr>
        <a:noFill/>
        <a:ln w="0">
          <a:noFill/>
        </a:ln>
      </c:spPr>
    </c:title>
    <c:autoTitleDeleted val="0"/>
    <c:plotArea>
      <c:barChart>
        <c:barDir val="col"/>
        <c:grouping val="clustered"/>
        <c:varyColors val="0"/>
        <c:ser>
          <c:idx val="0"/>
          <c:order val="0"/>
          <c:tx>
            <c:strRef>
              <c:f>'Pivot Table'!G4</c:f>
              <c:strCache>
                <c:ptCount val="1"/>
                <c:pt idx="0">
                  <c:v>Grand Total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Table'!$A$5:$A$9</c:f>
              <c:strCache>
                <c:ptCount val="5"/>
                <c:pt idx="0">
                  <c:v>Central</c:v>
                </c:pt>
                <c:pt idx="1">
                  <c:v>East</c:v>
                </c:pt>
                <c:pt idx="2">
                  <c:v>North</c:v>
                </c:pt>
                <c:pt idx="3">
                  <c:v>South</c:v>
                </c:pt>
                <c:pt idx="4">
                  <c:v>West</c:v>
                </c:pt>
              </c:strCache>
            </c:strRef>
          </c:cat>
          <c:val>
            <c:numRef>
              <c:f>'Pivot Table'!$G$5:$G$9</c:f>
              <c:numCache>
                <c:formatCode>\₹#,##0</c:formatCode>
                <c:ptCount val="5"/>
                <c:pt idx="0">
                  <c:v>43468.33</c:v>
                </c:pt>
                <c:pt idx="1">
                  <c:v>32441.64</c:v>
                </c:pt>
                <c:pt idx="2">
                  <c:v>34975.42</c:v>
                </c:pt>
                <c:pt idx="3">
                  <c:v>40248.79</c:v>
                </c:pt>
                <c:pt idx="4">
                  <c:v>44083.58</c:v>
                </c:pt>
              </c:numCache>
            </c:numRef>
          </c:val>
        </c:ser>
        <c:gapWidth val="150"/>
        <c:overlap val="0"/>
        <c:axId val="84279541"/>
        <c:axId val="254119"/>
      </c:barChart>
      <c:catAx>
        <c:axId val="842795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4119"/>
        <c:crosses val="autoZero"/>
        <c:auto val="1"/>
        <c:lblAlgn val="ctr"/>
        <c:lblOffset val="100"/>
        <c:noMultiLvlLbl val="0"/>
      </c:catAx>
      <c:valAx>
        <c:axId val="2541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27954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Sales Trend (₹)</a:t>
            </a:r>
          </a:p>
        </c:rich>
      </c:tx>
      <c:overlay val="0"/>
      <c:spPr>
        <a:noFill/>
        <a:ln w="0">
          <a:noFill/>
        </a:ln>
      </c:spPr>
    </c:title>
    <c:autoTitleDeleted val="0"/>
    <c:plotArea>
      <c:lineChart>
        <c:grouping val="standard"/>
        <c:varyColors val="0"/>
        <c:ser>
          <c:idx val="0"/>
          <c:order val="0"/>
          <c:tx>
            <c:strRef>
              <c:f>'Sales Growth'!B3</c:f>
              <c:strCache>
                <c:ptCount val="1"/>
                <c:pt idx="0">
                  <c:v>Total Sales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'Sales Growth'!$A$4:$A$16</c:f>
              <c:strCache>
                <c:ptCount val="13"/>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pt idx="12">
                  <c:v>Apr-2025</c:v>
                </c:pt>
              </c:strCache>
            </c:strRef>
          </c:cat>
          <c:val>
            <c:numRef>
              <c:f>'Sales Growth'!$B$4:$B$16</c:f>
              <c:numCache>
                <c:formatCode>\₹#,##0</c:formatCode>
                <c:ptCount val="13"/>
                <c:pt idx="0">
                  <c:v>19029.96</c:v>
                </c:pt>
                <c:pt idx="1">
                  <c:v>18507.34</c:v>
                </c:pt>
                <c:pt idx="2">
                  <c:v>20187.51</c:v>
                </c:pt>
                <c:pt idx="3">
                  <c:v>11609.04</c:v>
                </c:pt>
                <c:pt idx="4">
                  <c:v>10091.7</c:v>
                </c:pt>
                <c:pt idx="5">
                  <c:v>20533.5</c:v>
                </c:pt>
                <c:pt idx="6">
                  <c:v>14215.24</c:v>
                </c:pt>
                <c:pt idx="7">
                  <c:v>20135.03</c:v>
                </c:pt>
                <c:pt idx="8">
                  <c:v>11120.04</c:v>
                </c:pt>
                <c:pt idx="9">
                  <c:v>14914.65</c:v>
                </c:pt>
                <c:pt idx="10">
                  <c:v>14006.36</c:v>
                </c:pt>
                <c:pt idx="11">
                  <c:v>17655.22</c:v>
                </c:pt>
                <c:pt idx="12">
                  <c:v>3212.17</c:v>
                </c:pt>
              </c:numCache>
            </c:numRef>
          </c:val>
          <c:smooth val="0"/>
        </c:ser>
        <c:hiLowLines>
          <c:spPr>
            <a:ln w="0">
              <a:noFill/>
            </a:ln>
          </c:spPr>
        </c:hiLowLines>
        <c:marker val="0"/>
        <c:axId val="45528433"/>
        <c:axId val="95437547"/>
      </c:lineChart>
      <c:catAx>
        <c:axId val="45528433"/>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437547"/>
        <c:crosses val="autoZero"/>
        <c:auto val="1"/>
        <c:lblAlgn val="ctr"/>
        <c:lblOffset val="100"/>
        <c:noMultiLvlLbl val="0"/>
      </c:catAx>
      <c:valAx>
        <c:axId val="9543754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52843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Share by Product Category</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showLeaderLines val="0"/>
          </c:dLbls>
          <c:cat>
            <c:strRef>
              <c:f>'Pivot Table'!$B$4:$F$4</c:f>
              <c:strCache>
                <c:ptCount val="5"/>
                <c:pt idx="0">
                  <c:v>Books</c:v>
                </c:pt>
                <c:pt idx="1">
                  <c:v>Clothing</c:v>
                </c:pt>
                <c:pt idx="2">
                  <c:v>Electronics</c:v>
                </c:pt>
                <c:pt idx="3">
                  <c:v>Furniture</c:v>
                </c:pt>
                <c:pt idx="4">
                  <c:v>Office Supplies</c:v>
                </c:pt>
              </c:strCache>
            </c:strRef>
          </c:cat>
          <c:val>
            <c:numRef>
              <c:f>'Pivot Table'!$B$10:$F$10</c:f>
              <c:numCache>
                <c:formatCode>\₹#,##0</c:formatCode>
                <c:ptCount val="5"/>
                <c:pt idx="0">
                  <c:v>47002.46</c:v>
                </c:pt>
                <c:pt idx="1">
                  <c:v>41927.59</c:v>
                </c:pt>
                <c:pt idx="2">
                  <c:v>41044</c:v>
                </c:pt>
                <c:pt idx="3">
                  <c:v>36612.89</c:v>
                </c:pt>
                <c:pt idx="4">
                  <c:v>28630.82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100800</xdr:rowOff>
    </xdr:from>
    <xdr:to>
      <xdr:col>3</xdr:col>
      <xdr:colOff>450360</xdr:colOff>
      <xdr:row>26</xdr:row>
      <xdr:rowOff>133560</xdr:rowOff>
    </xdr:to>
    <xdr:graphicFrame>
      <xdr:nvGraphicFramePr>
        <xdr:cNvPr id="0" name="Chart 1"/>
        <xdr:cNvGraphicFramePr/>
      </xdr:nvGraphicFramePr>
      <xdr:xfrm>
        <a:off x="0" y="2638440"/>
        <a:ext cx="46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12</xdr:row>
      <xdr:rowOff>100800</xdr:rowOff>
    </xdr:from>
    <xdr:to>
      <xdr:col>10</xdr:col>
      <xdr:colOff>450360</xdr:colOff>
      <xdr:row>26</xdr:row>
      <xdr:rowOff>133560</xdr:rowOff>
    </xdr:to>
    <xdr:graphicFrame>
      <xdr:nvGraphicFramePr>
        <xdr:cNvPr id="1" name="Chart 2"/>
        <xdr:cNvGraphicFramePr/>
      </xdr:nvGraphicFramePr>
      <xdr:xfrm>
        <a:off x="7048440" y="2638440"/>
        <a:ext cx="467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28</xdr:row>
      <xdr:rowOff>101160</xdr:rowOff>
    </xdr:from>
    <xdr:to>
      <xdr:col>3</xdr:col>
      <xdr:colOff>450360</xdr:colOff>
      <xdr:row>42</xdr:row>
      <xdr:rowOff>133560</xdr:rowOff>
    </xdr:to>
    <xdr:graphicFrame>
      <xdr:nvGraphicFramePr>
        <xdr:cNvPr id="2" name="Chart 3"/>
        <xdr:cNvGraphicFramePr/>
      </xdr:nvGraphicFramePr>
      <xdr:xfrm>
        <a:off x="0" y="5686560"/>
        <a:ext cx="467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89.75" hidden="false" customHeight="true" outlineLevel="0" collapsed="false">
      <c r="A2" s="2" t="s">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11"/>
    <col collapsed="false" customWidth="true" hidden="false" outlineLevel="0" max="4" min="4" style="0" width="18"/>
    <col collapsed="false" customWidth="true" hidden="false" outlineLevel="0" max="5" min="5" style="0" width="11"/>
    <col collapsed="false" customWidth="true" hidden="false" outlineLevel="0" max="7" min="6" style="0" width="10"/>
    <col collapsed="false" customWidth="true" hidden="false" outlineLevel="0" max="8" min="8" style="0" width="14"/>
    <col collapsed="false" customWidth="true" hidden="false" outlineLevel="0" max="9" min="9" style="0" width="11"/>
    <col collapsed="false" customWidth="true" hidden="false" outlineLevel="0" max="10" min="10" style="0" width="22"/>
  </cols>
  <sheetData>
    <row r="1" customFormat="false" ht="15" hidden="false" customHeight="false" outlineLevel="0" collapsed="false">
      <c r="A1" s="3" t="s">
        <v>2</v>
      </c>
      <c r="B1" s="3" t="s">
        <v>3</v>
      </c>
      <c r="C1" s="3" t="s">
        <v>4</v>
      </c>
      <c r="D1" s="3" t="s">
        <v>5</v>
      </c>
      <c r="E1" s="3" t="s">
        <v>6</v>
      </c>
      <c r="F1" s="3" t="s">
        <v>7</v>
      </c>
      <c r="G1" s="3" t="s">
        <v>8</v>
      </c>
      <c r="H1" s="3" t="s">
        <v>9</v>
      </c>
      <c r="I1" s="3" t="s">
        <v>10</v>
      </c>
      <c r="J1" s="3" t="s">
        <v>11</v>
      </c>
    </row>
    <row r="2" customFormat="false" ht="15" hidden="false" customHeight="false" outlineLevel="0" collapsed="false">
      <c r="A2" s="4" t="s">
        <v>12</v>
      </c>
      <c r="B2" s="4" t="s">
        <v>13</v>
      </c>
      <c r="C2" s="4" t="s">
        <v>14</v>
      </c>
      <c r="D2" s="4" t="s">
        <v>15</v>
      </c>
      <c r="E2" s="5" t="n">
        <v>1036.09</v>
      </c>
      <c r="F2" s="4" t="n">
        <v>4</v>
      </c>
      <c r="G2" s="6" t="n">
        <v>0.2</v>
      </c>
      <c r="H2" s="7" t="n">
        <v>45392</v>
      </c>
      <c r="I2" s="5" t="n">
        <v>331.55</v>
      </c>
      <c r="J2" s="8" t="n">
        <f aca="true">NOW()</f>
        <v>46303.6508013134</v>
      </c>
    </row>
    <row r="3" customFormat="false" ht="15" hidden="false" customHeight="false" outlineLevel="0" collapsed="false">
      <c r="A3" s="4" t="s">
        <v>16</v>
      </c>
      <c r="B3" s="4" t="s">
        <v>17</v>
      </c>
      <c r="C3" s="4" t="s">
        <v>14</v>
      </c>
      <c r="D3" s="4" t="s">
        <v>18</v>
      </c>
      <c r="E3" s="5" t="n">
        <v>1101.28</v>
      </c>
      <c r="F3" s="4" t="n">
        <v>3</v>
      </c>
      <c r="G3" s="6" t="n">
        <v>0.2</v>
      </c>
      <c r="H3" s="7" t="n">
        <v>45393</v>
      </c>
      <c r="I3" s="5" t="n">
        <v>440.51</v>
      </c>
      <c r="J3" s="8" t="n">
        <f aca="true">NOW()</f>
        <v>46303.650801314</v>
      </c>
    </row>
    <row r="4" customFormat="false" ht="15" hidden="false" customHeight="false" outlineLevel="0" collapsed="false">
      <c r="A4" s="4" t="s">
        <v>19</v>
      </c>
      <c r="B4" s="4" t="s">
        <v>20</v>
      </c>
      <c r="C4" s="4" t="s">
        <v>21</v>
      </c>
      <c r="D4" s="4" t="s">
        <v>15</v>
      </c>
      <c r="E4" s="5" t="n">
        <v>713.34</v>
      </c>
      <c r="F4" s="4" t="n">
        <v>17</v>
      </c>
      <c r="G4" s="6" t="n">
        <v>0</v>
      </c>
      <c r="H4" s="7" t="n">
        <v>45396</v>
      </c>
      <c r="I4" s="5" t="n">
        <v>285.34</v>
      </c>
      <c r="J4" s="8" t="n">
        <f aca="true">NOW()</f>
        <v>46303.6508013136</v>
      </c>
    </row>
    <row r="5" customFormat="false" ht="15" hidden="false" customHeight="false" outlineLevel="0" collapsed="false">
      <c r="A5" s="4" t="s">
        <v>22</v>
      </c>
      <c r="B5" s="4" t="s">
        <v>17</v>
      </c>
      <c r="C5" s="4" t="s">
        <v>23</v>
      </c>
      <c r="D5" s="4" t="s">
        <v>24</v>
      </c>
      <c r="E5" s="5" t="n">
        <v>760.93</v>
      </c>
      <c r="F5" s="4" t="n">
        <v>4</v>
      </c>
      <c r="G5" s="6" t="n">
        <v>0.15</v>
      </c>
      <c r="H5" s="7" t="n">
        <v>45396</v>
      </c>
      <c r="I5" s="5" t="n">
        <v>161.7</v>
      </c>
      <c r="J5" s="8" t="n">
        <f aca="true">NOW()</f>
        <v>46303.6508013141</v>
      </c>
    </row>
    <row r="6" customFormat="false" ht="15" hidden="false" customHeight="false" outlineLevel="0" collapsed="false">
      <c r="A6" s="4" t="s">
        <v>25</v>
      </c>
      <c r="B6" s="4" t="s">
        <v>26</v>
      </c>
      <c r="C6" s="4" t="s">
        <v>27</v>
      </c>
      <c r="D6" s="4" t="s">
        <v>15</v>
      </c>
      <c r="E6" s="5" t="n">
        <v>847</v>
      </c>
      <c r="F6" s="4" t="n">
        <v>12</v>
      </c>
      <c r="G6" s="6" t="n">
        <v>0.2</v>
      </c>
      <c r="H6" s="7" t="n">
        <v>45397</v>
      </c>
      <c r="I6" s="5" t="n">
        <v>271.04</v>
      </c>
      <c r="J6" s="8" t="n">
        <f aca="true">NOW()</f>
        <v>46303.6508013136</v>
      </c>
    </row>
    <row r="7" customFormat="false" ht="15" hidden="false" customHeight="false" outlineLevel="0" collapsed="false">
      <c r="A7" s="4" t="s">
        <v>28</v>
      </c>
      <c r="B7" s="4" t="s">
        <v>29</v>
      </c>
      <c r="C7" s="4" t="s">
        <v>27</v>
      </c>
      <c r="D7" s="4" t="s">
        <v>30</v>
      </c>
      <c r="E7" s="5" t="n">
        <v>965.64</v>
      </c>
      <c r="F7" s="4" t="n">
        <v>8</v>
      </c>
      <c r="G7" s="6" t="n">
        <v>0.1</v>
      </c>
      <c r="H7" s="7" t="n">
        <v>45398</v>
      </c>
      <c r="I7" s="5" t="n">
        <v>304.18</v>
      </c>
      <c r="J7" s="8" t="n">
        <f aca="true">NOW()</f>
        <v>46303.6508013141</v>
      </c>
    </row>
    <row r="8" customFormat="false" ht="15" hidden="false" customHeight="false" outlineLevel="0" collapsed="false">
      <c r="A8" s="4" t="s">
        <v>31</v>
      </c>
      <c r="B8" s="4" t="s">
        <v>32</v>
      </c>
      <c r="C8" s="4" t="s">
        <v>14</v>
      </c>
      <c r="D8" s="4" t="s">
        <v>24</v>
      </c>
      <c r="E8" s="5" t="n">
        <v>1317.53</v>
      </c>
      <c r="F8" s="4" t="n">
        <v>12</v>
      </c>
      <c r="G8" s="6" t="n">
        <v>0.05</v>
      </c>
      <c r="H8" s="7" t="n">
        <v>45398</v>
      </c>
      <c r="I8" s="5" t="n">
        <v>312.91</v>
      </c>
      <c r="J8" s="8" t="n">
        <f aca="true">NOW()</f>
        <v>46303.6508013136</v>
      </c>
    </row>
    <row r="9" customFormat="false" ht="15" hidden="false" customHeight="false" outlineLevel="0" collapsed="false">
      <c r="A9" s="4" t="s">
        <v>33</v>
      </c>
      <c r="B9" s="4" t="s">
        <v>34</v>
      </c>
      <c r="C9" s="4" t="s">
        <v>21</v>
      </c>
      <c r="D9" s="4" t="s">
        <v>30</v>
      </c>
      <c r="E9" s="5" t="n">
        <v>1074.47</v>
      </c>
      <c r="F9" s="4" t="n">
        <v>6</v>
      </c>
      <c r="G9" s="6" t="n">
        <v>0.2</v>
      </c>
      <c r="H9" s="7" t="n">
        <v>45401</v>
      </c>
      <c r="I9" s="5" t="n">
        <v>300.85</v>
      </c>
      <c r="J9" s="8" t="n">
        <f aca="true">NOW()</f>
        <v>46303.6508013141</v>
      </c>
    </row>
    <row r="10" customFormat="false" ht="15" hidden="false" customHeight="false" outlineLevel="0" collapsed="false">
      <c r="A10" s="4" t="s">
        <v>35</v>
      </c>
      <c r="B10" s="4" t="s">
        <v>36</v>
      </c>
      <c r="C10" s="4" t="s">
        <v>37</v>
      </c>
      <c r="D10" s="4" t="s">
        <v>15</v>
      </c>
      <c r="E10" s="5" t="n">
        <v>501.54</v>
      </c>
      <c r="F10" s="4" t="n">
        <v>11</v>
      </c>
      <c r="G10" s="6" t="n">
        <v>0.05</v>
      </c>
      <c r="H10" s="7" t="n">
        <v>45401</v>
      </c>
      <c r="I10" s="5" t="n">
        <v>190.59</v>
      </c>
      <c r="J10" s="8" t="n">
        <f aca="true">NOW()</f>
        <v>46303.6508013136</v>
      </c>
    </row>
    <row r="11" customFormat="false" ht="15" hidden="false" customHeight="false" outlineLevel="0" collapsed="false">
      <c r="A11" s="4" t="s">
        <v>38</v>
      </c>
      <c r="B11" s="4" t="s">
        <v>39</v>
      </c>
      <c r="C11" s="4" t="s">
        <v>37</v>
      </c>
      <c r="D11" s="4" t="s">
        <v>18</v>
      </c>
      <c r="E11" s="5" t="n">
        <v>737.31</v>
      </c>
      <c r="F11" s="4" t="n">
        <v>2</v>
      </c>
      <c r="G11" s="6" t="n">
        <v>0.05</v>
      </c>
      <c r="H11" s="7" t="n">
        <v>45401</v>
      </c>
      <c r="I11" s="5" t="n">
        <v>350.22</v>
      </c>
      <c r="J11" s="8" t="n">
        <f aca="true">NOW()</f>
        <v>46303.6508013141</v>
      </c>
    </row>
    <row r="12" customFormat="false" ht="15" hidden="false" customHeight="false" outlineLevel="0" collapsed="false">
      <c r="A12" s="4" t="s">
        <v>40</v>
      </c>
      <c r="B12" s="4" t="s">
        <v>41</v>
      </c>
      <c r="C12" s="4" t="s">
        <v>14</v>
      </c>
      <c r="D12" s="4" t="s">
        <v>42</v>
      </c>
      <c r="E12" s="5" t="n">
        <v>1572.82</v>
      </c>
      <c r="F12" s="4" t="n">
        <v>6</v>
      </c>
      <c r="G12" s="6" t="n">
        <v>0.05</v>
      </c>
      <c r="H12" s="7" t="n">
        <v>45402</v>
      </c>
      <c r="I12" s="5" t="n">
        <v>672.38</v>
      </c>
      <c r="J12" s="8" t="n">
        <f aca="true">NOW()</f>
        <v>46303.6508013136</v>
      </c>
    </row>
    <row r="13" customFormat="false" ht="15" hidden="false" customHeight="false" outlineLevel="0" collapsed="false">
      <c r="A13" s="4" t="s">
        <v>40</v>
      </c>
      <c r="B13" s="4" t="s">
        <v>39</v>
      </c>
      <c r="C13" s="4" t="s">
        <v>37</v>
      </c>
      <c r="D13" s="4" t="s">
        <v>15</v>
      </c>
      <c r="E13" s="5" t="n">
        <v>1343.13</v>
      </c>
      <c r="F13" s="4" t="n">
        <v>14</v>
      </c>
      <c r="G13" s="6" t="n">
        <v>0.15</v>
      </c>
      <c r="H13" s="7" t="n">
        <v>45404</v>
      </c>
      <c r="I13" s="5" t="n">
        <v>456.66</v>
      </c>
      <c r="J13" s="8" t="n">
        <f aca="true">NOW()</f>
        <v>46303.6508013141</v>
      </c>
    </row>
    <row r="14" customFormat="false" ht="15" hidden="false" customHeight="false" outlineLevel="0" collapsed="false">
      <c r="A14" s="4" t="s">
        <v>28</v>
      </c>
      <c r="B14" s="4" t="s">
        <v>29</v>
      </c>
      <c r="C14" s="4" t="s">
        <v>37</v>
      </c>
      <c r="D14" s="4" t="s">
        <v>15</v>
      </c>
      <c r="E14" s="5" t="n">
        <v>1191.58</v>
      </c>
      <c r="F14" s="4" t="n">
        <v>14</v>
      </c>
      <c r="G14" s="6" t="n">
        <v>0.05</v>
      </c>
      <c r="H14" s="7" t="n">
        <v>45406</v>
      </c>
      <c r="I14" s="5" t="n">
        <v>452.8</v>
      </c>
      <c r="J14" s="8" t="n">
        <f aca="true">NOW()</f>
        <v>46303.6508013136</v>
      </c>
    </row>
    <row r="15" customFormat="false" ht="15" hidden="false" customHeight="false" outlineLevel="0" collapsed="false">
      <c r="A15" s="4" t="s">
        <v>43</v>
      </c>
      <c r="B15" s="4" t="s">
        <v>17</v>
      </c>
      <c r="C15" s="4" t="s">
        <v>14</v>
      </c>
      <c r="D15" s="4" t="s">
        <v>30</v>
      </c>
      <c r="E15" s="5" t="n">
        <v>822.28</v>
      </c>
      <c r="F15" s="4" t="n">
        <v>7</v>
      </c>
      <c r="G15" s="6" t="n">
        <v>0.05</v>
      </c>
      <c r="H15" s="7" t="n">
        <v>45406</v>
      </c>
      <c r="I15" s="5" t="n">
        <v>273.41</v>
      </c>
      <c r="J15" s="8" t="n">
        <f aca="true">NOW()</f>
        <v>46303.6508013141</v>
      </c>
    </row>
    <row r="16" customFormat="false" ht="15" hidden="false" customHeight="false" outlineLevel="0" collapsed="false">
      <c r="A16" s="4" t="s">
        <v>44</v>
      </c>
      <c r="B16" s="4" t="s">
        <v>45</v>
      </c>
      <c r="C16" s="4" t="s">
        <v>27</v>
      </c>
      <c r="D16" s="4" t="s">
        <v>30</v>
      </c>
      <c r="E16" s="5" t="n">
        <v>521.67</v>
      </c>
      <c r="F16" s="4" t="n">
        <v>15</v>
      </c>
      <c r="G16" s="6" t="n">
        <v>0.15</v>
      </c>
      <c r="H16" s="7" t="n">
        <v>45409</v>
      </c>
      <c r="I16" s="5" t="n">
        <v>155.2</v>
      </c>
      <c r="J16" s="8" t="n">
        <f aca="true">NOW()</f>
        <v>46303.6508013136</v>
      </c>
    </row>
    <row r="17" customFormat="false" ht="15" hidden="false" customHeight="false" outlineLevel="0" collapsed="false">
      <c r="A17" s="4" t="s">
        <v>22</v>
      </c>
      <c r="B17" s="4" t="s">
        <v>46</v>
      </c>
      <c r="C17" s="4" t="s">
        <v>23</v>
      </c>
      <c r="D17" s="4" t="s">
        <v>24</v>
      </c>
      <c r="E17" s="5" t="n">
        <v>1502.93</v>
      </c>
      <c r="F17" s="4" t="n">
        <v>14</v>
      </c>
      <c r="G17" s="6" t="n">
        <v>0.2</v>
      </c>
      <c r="H17" s="7" t="n">
        <v>45410</v>
      </c>
      <c r="I17" s="5" t="n">
        <v>300.59</v>
      </c>
      <c r="J17" s="8" t="n">
        <f aca="true">NOW()</f>
        <v>46303.6508013141</v>
      </c>
    </row>
    <row r="18" customFormat="false" ht="15" hidden="false" customHeight="false" outlineLevel="0" collapsed="false">
      <c r="A18" s="4" t="s">
        <v>47</v>
      </c>
      <c r="B18" s="4" t="s">
        <v>17</v>
      </c>
      <c r="C18" s="4" t="s">
        <v>23</v>
      </c>
      <c r="D18" s="4" t="s">
        <v>15</v>
      </c>
      <c r="E18" s="5" t="n">
        <v>877.58</v>
      </c>
      <c r="F18" s="4" t="n">
        <v>10</v>
      </c>
      <c r="G18" s="6" t="n">
        <v>0.15</v>
      </c>
      <c r="H18" s="7" t="n">
        <v>45411</v>
      </c>
      <c r="I18" s="5" t="n">
        <v>298.38</v>
      </c>
      <c r="J18" s="8" t="n">
        <f aca="true">NOW()</f>
        <v>46303.6508013136</v>
      </c>
    </row>
    <row r="19" customFormat="false" ht="15" hidden="false" customHeight="false" outlineLevel="0" collapsed="false">
      <c r="A19" s="4" t="s">
        <v>31</v>
      </c>
      <c r="B19" s="4" t="s">
        <v>48</v>
      </c>
      <c r="C19" s="4" t="s">
        <v>14</v>
      </c>
      <c r="D19" s="4" t="s">
        <v>15</v>
      </c>
      <c r="E19" s="5" t="n">
        <v>636.7</v>
      </c>
      <c r="F19" s="4" t="n">
        <v>4</v>
      </c>
      <c r="G19" s="6" t="n">
        <v>0.2</v>
      </c>
      <c r="H19" s="7" t="n">
        <v>45411</v>
      </c>
      <c r="I19" s="5" t="n">
        <v>203.74</v>
      </c>
      <c r="J19" s="8" t="n">
        <f aca="true">NOW()</f>
        <v>46303.6508013141</v>
      </c>
    </row>
    <row r="20" customFormat="false" ht="15" hidden="false" customHeight="false" outlineLevel="0" collapsed="false">
      <c r="A20" s="4" t="s">
        <v>49</v>
      </c>
      <c r="B20" s="4" t="s">
        <v>50</v>
      </c>
      <c r="C20" s="4" t="s">
        <v>14</v>
      </c>
      <c r="D20" s="4" t="s">
        <v>15</v>
      </c>
      <c r="E20" s="5" t="n">
        <v>1506.14</v>
      </c>
      <c r="F20" s="4" t="n">
        <v>13</v>
      </c>
      <c r="G20" s="6" t="n">
        <v>0.2</v>
      </c>
      <c r="H20" s="7" t="n">
        <v>45412</v>
      </c>
      <c r="I20" s="5" t="n">
        <v>481.96</v>
      </c>
      <c r="J20" s="8" t="n">
        <f aca="true">NOW()</f>
        <v>46303.6508013136</v>
      </c>
    </row>
    <row r="21" customFormat="false" ht="15" hidden="false" customHeight="false" outlineLevel="0" collapsed="false">
      <c r="A21" s="4" t="s">
        <v>33</v>
      </c>
      <c r="B21" s="4" t="s">
        <v>34</v>
      </c>
      <c r="C21" s="4" t="s">
        <v>37</v>
      </c>
      <c r="D21" s="4" t="s">
        <v>24</v>
      </c>
      <c r="E21" s="5" t="n">
        <v>645.02</v>
      </c>
      <c r="F21" s="4" t="n">
        <v>4</v>
      </c>
      <c r="G21" s="6" t="n">
        <v>0</v>
      </c>
      <c r="H21" s="7" t="n">
        <v>45414</v>
      </c>
      <c r="I21" s="5" t="n">
        <v>161.26</v>
      </c>
      <c r="J21" s="8" t="n">
        <f aca="true">NOW()</f>
        <v>46303.6508013141</v>
      </c>
    </row>
    <row r="22" customFormat="false" ht="15" hidden="false" customHeight="false" outlineLevel="0" collapsed="false">
      <c r="A22" s="4" t="s">
        <v>28</v>
      </c>
      <c r="B22" s="4" t="s">
        <v>51</v>
      </c>
      <c r="C22" s="4" t="s">
        <v>23</v>
      </c>
      <c r="D22" s="4" t="s">
        <v>18</v>
      </c>
      <c r="E22" s="5" t="n">
        <v>953.3</v>
      </c>
      <c r="F22" s="4" t="n">
        <v>11</v>
      </c>
      <c r="G22" s="6" t="n">
        <v>0</v>
      </c>
      <c r="H22" s="7" t="n">
        <v>45415</v>
      </c>
      <c r="I22" s="5" t="n">
        <v>476.65</v>
      </c>
      <c r="J22" s="8" t="n">
        <f aca="true">NOW()</f>
        <v>46303.6508013136</v>
      </c>
    </row>
    <row r="23" customFormat="false" ht="15" hidden="false" customHeight="false" outlineLevel="0" collapsed="false">
      <c r="A23" s="4" t="s">
        <v>52</v>
      </c>
      <c r="B23" s="4" t="s">
        <v>17</v>
      </c>
      <c r="C23" s="4" t="s">
        <v>27</v>
      </c>
      <c r="D23" s="4" t="s">
        <v>24</v>
      </c>
      <c r="E23" s="5" t="n">
        <v>388.56</v>
      </c>
      <c r="F23" s="4" t="n">
        <v>14</v>
      </c>
      <c r="G23" s="6" t="n">
        <v>0.15</v>
      </c>
      <c r="H23" s="7" t="n">
        <v>45416</v>
      </c>
      <c r="I23" s="5" t="n">
        <v>82.57</v>
      </c>
      <c r="J23" s="8" t="n">
        <f aca="true">NOW()</f>
        <v>46303.6508013141</v>
      </c>
    </row>
    <row r="24" customFormat="false" ht="15" hidden="false" customHeight="false" outlineLevel="0" collapsed="false">
      <c r="A24" s="4" t="s">
        <v>12</v>
      </c>
      <c r="B24" s="4" t="s">
        <v>34</v>
      </c>
      <c r="C24" s="4" t="s">
        <v>14</v>
      </c>
      <c r="D24" s="4" t="s">
        <v>15</v>
      </c>
      <c r="E24" s="5" t="n">
        <v>743.17</v>
      </c>
      <c r="F24" s="4" t="n">
        <v>9</v>
      </c>
      <c r="G24" s="6" t="n">
        <v>0</v>
      </c>
      <c r="H24" s="7" t="n">
        <v>45416</v>
      </c>
      <c r="I24" s="5" t="n">
        <v>297.27</v>
      </c>
      <c r="J24" s="8" t="n">
        <f aca="true">NOW()</f>
        <v>46303.6508013136</v>
      </c>
    </row>
    <row r="25" customFormat="false" ht="15" hidden="false" customHeight="false" outlineLevel="0" collapsed="false">
      <c r="A25" s="4" t="s">
        <v>43</v>
      </c>
      <c r="B25" s="4" t="s">
        <v>34</v>
      </c>
      <c r="C25" s="4" t="s">
        <v>37</v>
      </c>
      <c r="D25" s="4" t="s">
        <v>24</v>
      </c>
      <c r="E25" s="5" t="n">
        <v>706.37</v>
      </c>
      <c r="F25" s="4" t="n">
        <v>6</v>
      </c>
      <c r="G25" s="6" t="n">
        <v>0</v>
      </c>
      <c r="H25" s="7" t="n">
        <v>45416</v>
      </c>
      <c r="I25" s="5" t="n">
        <v>176.59</v>
      </c>
      <c r="J25" s="8" t="n">
        <f aca="true">NOW()</f>
        <v>46303.6508013141</v>
      </c>
    </row>
    <row r="26" customFormat="false" ht="15" hidden="false" customHeight="false" outlineLevel="0" collapsed="false">
      <c r="A26" s="4" t="s">
        <v>16</v>
      </c>
      <c r="B26" s="4" t="s">
        <v>34</v>
      </c>
      <c r="C26" s="4" t="s">
        <v>37</v>
      </c>
      <c r="D26" s="4" t="s">
        <v>42</v>
      </c>
      <c r="E26" s="5" t="n">
        <v>925.31</v>
      </c>
      <c r="F26" s="4" t="n">
        <v>8</v>
      </c>
      <c r="G26" s="6" t="n">
        <v>0.1</v>
      </c>
      <c r="H26" s="7" t="n">
        <v>45418</v>
      </c>
      <c r="I26" s="5" t="n">
        <v>374.75</v>
      </c>
      <c r="J26" s="8" t="n">
        <f aca="true">NOW()</f>
        <v>46303.6508013137</v>
      </c>
    </row>
    <row r="27" customFormat="false" ht="15" hidden="false" customHeight="false" outlineLevel="0" collapsed="false">
      <c r="A27" s="4" t="s">
        <v>38</v>
      </c>
      <c r="B27" s="4" t="s">
        <v>53</v>
      </c>
      <c r="C27" s="4" t="s">
        <v>23</v>
      </c>
      <c r="D27" s="4" t="s">
        <v>24</v>
      </c>
      <c r="E27" s="5" t="n">
        <v>1173.12</v>
      </c>
      <c r="F27" s="4" t="n">
        <v>18</v>
      </c>
      <c r="G27" s="6" t="n">
        <v>0</v>
      </c>
      <c r="H27" s="7" t="n">
        <v>45418</v>
      </c>
      <c r="I27" s="5" t="n">
        <v>293.28</v>
      </c>
      <c r="J27" s="8" t="n">
        <f aca="true">NOW()</f>
        <v>46303.6508013141</v>
      </c>
    </row>
    <row r="28" customFormat="false" ht="15" hidden="false" customHeight="false" outlineLevel="0" collapsed="false">
      <c r="A28" s="4" t="s">
        <v>25</v>
      </c>
      <c r="B28" s="4" t="s">
        <v>54</v>
      </c>
      <c r="C28" s="4" t="s">
        <v>27</v>
      </c>
      <c r="D28" s="4" t="s">
        <v>30</v>
      </c>
      <c r="E28" s="5" t="n">
        <v>675.54</v>
      </c>
      <c r="F28" s="4" t="n">
        <v>17</v>
      </c>
      <c r="G28" s="6" t="n">
        <v>0</v>
      </c>
      <c r="H28" s="7" t="n">
        <v>45420</v>
      </c>
      <c r="I28" s="5" t="n">
        <v>236.44</v>
      </c>
      <c r="J28" s="8" t="n">
        <f aca="true">NOW()</f>
        <v>46303.6508013137</v>
      </c>
    </row>
    <row r="29" customFormat="false" ht="15" hidden="false" customHeight="false" outlineLevel="0" collapsed="false">
      <c r="A29" s="4" t="s">
        <v>28</v>
      </c>
      <c r="B29" s="4" t="s">
        <v>17</v>
      </c>
      <c r="C29" s="4" t="s">
        <v>37</v>
      </c>
      <c r="D29" s="4" t="s">
        <v>15</v>
      </c>
      <c r="E29" s="5" t="n">
        <v>939.09</v>
      </c>
      <c r="F29" s="4" t="n">
        <v>2</v>
      </c>
      <c r="G29" s="6" t="n">
        <v>0.05</v>
      </c>
      <c r="H29" s="7" t="n">
        <v>45422</v>
      </c>
      <c r="I29" s="5" t="n">
        <v>356.85</v>
      </c>
      <c r="J29" s="8" t="n">
        <f aca="true">NOW()</f>
        <v>46303.6508013141</v>
      </c>
    </row>
    <row r="30" customFormat="false" ht="15" hidden="false" customHeight="false" outlineLevel="0" collapsed="false">
      <c r="A30" s="4" t="s">
        <v>55</v>
      </c>
      <c r="B30" s="4" t="s">
        <v>56</v>
      </c>
      <c r="C30" s="4" t="s">
        <v>21</v>
      </c>
      <c r="D30" s="4" t="s">
        <v>42</v>
      </c>
      <c r="E30" s="5" t="n">
        <v>983.34</v>
      </c>
      <c r="F30" s="4" t="n">
        <v>19</v>
      </c>
      <c r="G30" s="6" t="n">
        <v>0.1</v>
      </c>
      <c r="H30" s="7" t="n">
        <v>45426</v>
      </c>
      <c r="I30" s="5" t="n">
        <v>398.25</v>
      </c>
      <c r="J30" s="8" t="n">
        <f aca="true">NOW()</f>
        <v>46303.6508013137</v>
      </c>
    </row>
    <row r="31" customFormat="false" ht="15" hidden="false" customHeight="false" outlineLevel="0" collapsed="false">
      <c r="A31" s="4" t="s">
        <v>55</v>
      </c>
      <c r="B31" s="4" t="s">
        <v>26</v>
      </c>
      <c r="C31" s="4" t="s">
        <v>23</v>
      </c>
      <c r="D31" s="4" t="s">
        <v>24</v>
      </c>
      <c r="E31" s="5" t="n">
        <v>801.21</v>
      </c>
      <c r="F31" s="4" t="n">
        <v>3</v>
      </c>
      <c r="G31" s="6" t="n">
        <v>0.2</v>
      </c>
      <c r="H31" s="7" t="n">
        <v>45426</v>
      </c>
      <c r="I31" s="5" t="n">
        <v>160.24</v>
      </c>
      <c r="J31" s="8" t="n">
        <f aca="true">NOW()</f>
        <v>46303.6508013141</v>
      </c>
    </row>
    <row r="32" customFormat="false" ht="15" hidden="false" customHeight="false" outlineLevel="0" collapsed="false">
      <c r="A32" s="4" t="s">
        <v>57</v>
      </c>
      <c r="B32" s="4" t="s">
        <v>58</v>
      </c>
      <c r="C32" s="4" t="s">
        <v>27</v>
      </c>
      <c r="D32" s="4" t="s">
        <v>24</v>
      </c>
      <c r="E32" s="5" t="n">
        <v>1450.71</v>
      </c>
      <c r="F32" s="4" t="n">
        <v>5</v>
      </c>
      <c r="G32" s="6" t="n">
        <v>0.1</v>
      </c>
      <c r="H32" s="7" t="n">
        <v>45427</v>
      </c>
      <c r="I32" s="5" t="n">
        <v>326.41</v>
      </c>
      <c r="J32" s="8" t="n">
        <f aca="true">NOW()</f>
        <v>46303.6508013137</v>
      </c>
    </row>
    <row r="33" customFormat="false" ht="15" hidden="false" customHeight="false" outlineLevel="0" collapsed="false">
      <c r="A33" s="4" t="s">
        <v>52</v>
      </c>
      <c r="B33" s="4" t="s">
        <v>59</v>
      </c>
      <c r="C33" s="4" t="s">
        <v>37</v>
      </c>
      <c r="D33" s="4" t="s">
        <v>15</v>
      </c>
      <c r="E33" s="5" t="n">
        <v>1023.21</v>
      </c>
      <c r="F33" s="4" t="n">
        <v>18</v>
      </c>
      <c r="G33" s="6" t="n">
        <v>0.05</v>
      </c>
      <c r="H33" s="7" t="n">
        <v>45428</v>
      </c>
      <c r="I33" s="5" t="n">
        <v>388.82</v>
      </c>
      <c r="J33" s="8" t="n">
        <f aca="true">NOW()</f>
        <v>46303.6508013141</v>
      </c>
    </row>
    <row r="34" customFormat="false" ht="15" hidden="false" customHeight="false" outlineLevel="0" collapsed="false">
      <c r="A34" s="4" t="s">
        <v>31</v>
      </c>
      <c r="B34" s="4" t="s">
        <v>50</v>
      </c>
      <c r="C34" s="4" t="s">
        <v>14</v>
      </c>
      <c r="D34" s="4" t="s">
        <v>30</v>
      </c>
      <c r="E34" s="5" t="n">
        <v>853.72</v>
      </c>
      <c r="F34" s="4" t="n">
        <v>5</v>
      </c>
      <c r="G34" s="6" t="n">
        <v>0.15</v>
      </c>
      <c r="H34" s="7" t="n">
        <v>45428</v>
      </c>
      <c r="I34" s="5" t="n">
        <v>253.98</v>
      </c>
      <c r="J34" s="8" t="n">
        <f aca="true">NOW()</f>
        <v>46303.6508013137</v>
      </c>
    </row>
    <row r="35" customFormat="false" ht="15" hidden="false" customHeight="false" outlineLevel="0" collapsed="false">
      <c r="A35" s="4" t="s">
        <v>60</v>
      </c>
      <c r="B35" s="4" t="s">
        <v>46</v>
      </c>
      <c r="C35" s="4" t="s">
        <v>23</v>
      </c>
      <c r="D35" s="4" t="s">
        <v>24</v>
      </c>
      <c r="E35" s="5" t="n">
        <v>967.89</v>
      </c>
      <c r="F35" s="4" t="n">
        <v>10</v>
      </c>
      <c r="G35" s="6" t="n">
        <v>0.1</v>
      </c>
      <c r="H35" s="7" t="n">
        <v>45429</v>
      </c>
      <c r="I35" s="5" t="n">
        <v>217.78</v>
      </c>
      <c r="J35" s="8" t="n">
        <f aca="true">NOW()</f>
        <v>46303.6508013141</v>
      </c>
    </row>
    <row r="36" customFormat="false" ht="15" hidden="false" customHeight="false" outlineLevel="0" collapsed="false">
      <c r="A36" s="4" t="s">
        <v>61</v>
      </c>
      <c r="B36" s="4" t="s">
        <v>56</v>
      </c>
      <c r="C36" s="4" t="s">
        <v>27</v>
      </c>
      <c r="D36" s="4" t="s">
        <v>42</v>
      </c>
      <c r="E36" s="5" t="n">
        <v>1200.9</v>
      </c>
      <c r="F36" s="4" t="n">
        <v>14</v>
      </c>
      <c r="G36" s="6" t="n">
        <v>0.05</v>
      </c>
      <c r="H36" s="7" t="n">
        <v>45429</v>
      </c>
      <c r="I36" s="5" t="n">
        <v>513.38</v>
      </c>
      <c r="J36" s="8" t="n">
        <f aca="true">NOW()</f>
        <v>46303.6508013137</v>
      </c>
    </row>
    <row r="37" customFormat="false" ht="15" hidden="false" customHeight="false" outlineLevel="0" collapsed="false">
      <c r="A37" s="4" t="s">
        <v>16</v>
      </c>
      <c r="B37" s="4" t="s">
        <v>29</v>
      </c>
      <c r="C37" s="4" t="s">
        <v>14</v>
      </c>
      <c r="D37" s="4" t="s">
        <v>15</v>
      </c>
      <c r="E37" s="5" t="n">
        <v>472.38</v>
      </c>
      <c r="F37" s="4" t="n">
        <v>12</v>
      </c>
      <c r="G37" s="6" t="n">
        <v>0.2</v>
      </c>
      <c r="H37" s="7" t="n">
        <v>45429</v>
      </c>
      <c r="I37" s="5" t="n">
        <v>151.16</v>
      </c>
      <c r="J37" s="8" t="n">
        <f aca="true">NOW()</f>
        <v>46303.6508013141</v>
      </c>
    </row>
    <row r="38" customFormat="false" ht="15" hidden="false" customHeight="false" outlineLevel="0" collapsed="false">
      <c r="A38" s="4" t="s">
        <v>12</v>
      </c>
      <c r="B38" s="4" t="s">
        <v>58</v>
      </c>
      <c r="C38" s="4" t="s">
        <v>21</v>
      </c>
      <c r="D38" s="4" t="s">
        <v>42</v>
      </c>
      <c r="E38" s="5" t="n">
        <v>840.92</v>
      </c>
      <c r="F38" s="4" t="n">
        <v>9</v>
      </c>
      <c r="G38" s="6" t="n">
        <v>0.05</v>
      </c>
      <c r="H38" s="7" t="n">
        <v>45429</v>
      </c>
      <c r="I38" s="5" t="n">
        <v>359.49</v>
      </c>
      <c r="J38" s="8" t="n">
        <f aca="true">NOW()</f>
        <v>46303.6508013137</v>
      </c>
    </row>
    <row r="39" customFormat="false" ht="15" hidden="false" customHeight="false" outlineLevel="0" collapsed="false">
      <c r="A39" s="4" t="s">
        <v>55</v>
      </c>
      <c r="B39" s="4" t="s">
        <v>51</v>
      </c>
      <c r="C39" s="4" t="s">
        <v>37</v>
      </c>
      <c r="D39" s="4" t="s">
        <v>30</v>
      </c>
      <c r="E39" s="5" t="n">
        <v>1410.06</v>
      </c>
      <c r="F39" s="4" t="n">
        <v>11</v>
      </c>
      <c r="G39" s="6" t="n">
        <v>0.05</v>
      </c>
      <c r="H39" s="7" t="n">
        <v>45434</v>
      </c>
      <c r="I39" s="5" t="n">
        <v>468.84</v>
      </c>
      <c r="J39" s="8" t="n">
        <f aca="true">NOW()</f>
        <v>46303.6508013141</v>
      </c>
    </row>
    <row r="40" customFormat="false" ht="15" hidden="false" customHeight="false" outlineLevel="0" collapsed="false">
      <c r="A40" s="4" t="s">
        <v>47</v>
      </c>
      <c r="B40" s="4" t="s">
        <v>62</v>
      </c>
      <c r="C40" s="4" t="s">
        <v>37</v>
      </c>
      <c r="D40" s="4" t="s">
        <v>30</v>
      </c>
      <c r="E40" s="5" t="n">
        <v>773.09</v>
      </c>
      <c r="F40" s="4" t="n">
        <v>13</v>
      </c>
      <c r="G40" s="6" t="n">
        <v>0.15</v>
      </c>
      <c r="H40" s="7" t="n">
        <v>45434</v>
      </c>
      <c r="I40" s="5" t="n">
        <v>229.99</v>
      </c>
      <c r="J40" s="8" t="n">
        <f aca="true">NOW()</f>
        <v>46303.6508013137</v>
      </c>
    </row>
    <row r="41" customFormat="false" ht="15" hidden="false" customHeight="false" outlineLevel="0" collapsed="false">
      <c r="A41" s="4" t="s">
        <v>63</v>
      </c>
      <c r="B41" s="4" t="s">
        <v>64</v>
      </c>
      <c r="C41" s="4" t="s">
        <v>21</v>
      </c>
      <c r="D41" s="4" t="s">
        <v>15</v>
      </c>
      <c r="E41" s="5" t="n">
        <v>580.43</v>
      </c>
      <c r="F41" s="4" t="n">
        <v>19</v>
      </c>
      <c r="G41" s="6" t="n">
        <v>0.15</v>
      </c>
      <c r="H41" s="7" t="n">
        <v>45435</v>
      </c>
      <c r="I41" s="5" t="n">
        <v>197.35</v>
      </c>
      <c r="J41" s="8" t="n">
        <f aca="true">NOW()</f>
        <v>46303.6508013142</v>
      </c>
    </row>
    <row r="42" customFormat="false" ht="15" hidden="false" customHeight="false" outlineLevel="0" collapsed="false">
      <c r="A42" s="4" t="s">
        <v>22</v>
      </c>
      <c r="B42" s="4" t="s">
        <v>45</v>
      </c>
      <c r="C42" s="4" t="s">
        <v>23</v>
      </c>
      <c r="D42" s="4" t="s">
        <v>15</v>
      </c>
      <c r="E42" s="5" t="n">
        <v>1151.21</v>
      </c>
      <c r="F42" s="4" t="n">
        <v>15</v>
      </c>
      <c r="G42" s="6" t="n">
        <v>0.1</v>
      </c>
      <c r="H42" s="7" t="n">
        <v>45445</v>
      </c>
      <c r="I42" s="5" t="n">
        <v>414.44</v>
      </c>
      <c r="J42" s="8" t="n">
        <f aca="true">NOW()</f>
        <v>46303.6508013137</v>
      </c>
    </row>
    <row r="43" customFormat="false" ht="15" hidden="false" customHeight="false" outlineLevel="0" collapsed="false">
      <c r="A43" s="4" t="s">
        <v>55</v>
      </c>
      <c r="B43" s="4" t="s">
        <v>26</v>
      </c>
      <c r="C43" s="4" t="s">
        <v>37</v>
      </c>
      <c r="D43" s="4" t="s">
        <v>42</v>
      </c>
      <c r="E43" s="5" t="n">
        <v>1025.98</v>
      </c>
      <c r="F43" s="4" t="n">
        <v>5</v>
      </c>
      <c r="G43" s="6" t="n">
        <v>0.2</v>
      </c>
      <c r="H43" s="7" t="n">
        <v>45447</v>
      </c>
      <c r="I43" s="5" t="n">
        <v>369.35</v>
      </c>
      <c r="J43" s="8" t="n">
        <f aca="true">NOW()</f>
        <v>46303.6508013142</v>
      </c>
    </row>
    <row r="44" customFormat="false" ht="15" hidden="false" customHeight="false" outlineLevel="0" collapsed="false">
      <c r="A44" s="4" t="s">
        <v>43</v>
      </c>
      <c r="B44" s="4" t="s">
        <v>59</v>
      </c>
      <c r="C44" s="4" t="s">
        <v>21</v>
      </c>
      <c r="D44" s="4" t="s">
        <v>42</v>
      </c>
      <c r="E44" s="5" t="n">
        <v>556.42</v>
      </c>
      <c r="F44" s="4" t="n">
        <v>11</v>
      </c>
      <c r="G44" s="6" t="n">
        <v>0.15</v>
      </c>
      <c r="H44" s="7" t="n">
        <v>45447</v>
      </c>
      <c r="I44" s="5" t="n">
        <v>212.83</v>
      </c>
      <c r="J44" s="8" t="n">
        <f aca="true">NOW()</f>
        <v>46303.6508013137</v>
      </c>
    </row>
    <row r="45" customFormat="false" ht="15" hidden="false" customHeight="false" outlineLevel="0" collapsed="false">
      <c r="A45" s="4" t="s">
        <v>60</v>
      </c>
      <c r="B45" s="4" t="s">
        <v>26</v>
      </c>
      <c r="C45" s="4" t="s">
        <v>37</v>
      </c>
      <c r="D45" s="4" t="s">
        <v>15</v>
      </c>
      <c r="E45" s="5" t="n">
        <v>840.85</v>
      </c>
      <c r="F45" s="4" t="n">
        <v>19</v>
      </c>
      <c r="G45" s="6" t="n">
        <v>0.1</v>
      </c>
      <c r="H45" s="7" t="n">
        <v>45448</v>
      </c>
      <c r="I45" s="5" t="n">
        <v>302.71</v>
      </c>
      <c r="J45" s="8" t="n">
        <f aca="true">NOW()</f>
        <v>46303.6508013142</v>
      </c>
    </row>
    <row r="46" customFormat="false" ht="15" hidden="false" customHeight="false" outlineLevel="0" collapsed="false">
      <c r="A46" s="4" t="s">
        <v>33</v>
      </c>
      <c r="B46" s="4" t="s">
        <v>64</v>
      </c>
      <c r="C46" s="4" t="s">
        <v>27</v>
      </c>
      <c r="D46" s="4" t="s">
        <v>30</v>
      </c>
      <c r="E46" s="5" t="n">
        <v>1227.25</v>
      </c>
      <c r="F46" s="4" t="n">
        <v>12</v>
      </c>
      <c r="G46" s="6" t="n">
        <v>0.15</v>
      </c>
      <c r="H46" s="7" t="n">
        <v>45448</v>
      </c>
      <c r="I46" s="5" t="n">
        <v>365.11</v>
      </c>
      <c r="J46" s="8" t="n">
        <f aca="true">NOW()</f>
        <v>46303.6508013137</v>
      </c>
    </row>
    <row r="47" customFormat="false" ht="15" hidden="false" customHeight="false" outlineLevel="0" collapsed="false">
      <c r="A47" s="4" t="s">
        <v>19</v>
      </c>
      <c r="B47" s="4" t="s">
        <v>65</v>
      </c>
      <c r="C47" s="4" t="s">
        <v>37</v>
      </c>
      <c r="D47" s="4" t="s">
        <v>24</v>
      </c>
      <c r="E47" s="5" t="n">
        <v>856.7</v>
      </c>
      <c r="F47" s="4" t="n">
        <v>2</v>
      </c>
      <c r="G47" s="6" t="n">
        <v>0</v>
      </c>
      <c r="H47" s="7" t="n">
        <v>45449</v>
      </c>
      <c r="I47" s="5" t="n">
        <v>214.18</v>
      </c>
      <c r="J47" s="8" t="n">
        <f aca="true">NOW()</f>
        <v>46303.6508013142</v>
      </c>
    </row>
    <row r="48" customFormat="false" ht="15" hidden="false" customHeight="false" outlineLevel="0" collapsed="false">
      <c r="A48" s="4" t="s">
        <v>57</v>
      </c>
      <c r="B48" s="4" t="s">
        <v>59</v>
      </c>
      <c r="C48" s="4" t="s">
        <v>37</v>
      </c>
      <c r="D48" s="4" t="s">
        <v>42</v>
      </c>
      <c r="E48" s="5" t="n">
        <v>1225.42</v>
      </c>
      <c r="F48" s="4" t="n">
        <v>8</v>
      </c>
      <c r="G48" s="6" t="n">
        <v>0.15</v>
      </c>
      <c r="H48" s="7" t="n">
        <v>45449</v>
      </c>
      <c r="I48" s="5" t="n">
        <v>468.72</v>
      </c>
      <c r="J48" s="8" t="n">
        <f aca="true">NOW()</f>
        <v>46303.6508013137</v>
      </c>
    </row>
    <row r="49" customFormat="false" ht="15" hidden="false" customHeight="false" outlineLevel="0" collapsed="false">
      <c r="A49" s="4" t="s">
        <v>66</v>
      </c>
      <c r="B49" s="4" t="s">
        <v>34</v>
      </c>
      <c r="C49" s="4" t="s">
        <v>27</v>
      </c>
      <c r="D49" s="4" t="s">
        <v>42</v>
      </c>
      <c r="E49" s="5" t="n">
        <v>1001.57</v>
      </c>
      <c r="F49" s="4" t="n">
        <v>12</v>
      </c>
      <c r="G49" s="6" t="n">
        <v>0</v>
      </c>
      <c r="H49" s="7" t="n">
        <v>45450</v>
      </c>
      <c r="I49" s="5" t="n">
        <v>450.71</v>
      </c>
      <c r="J49" s="8" t="n">
        <f aca="true">NOW()</f>
        <v>46303.6508013142</v>
      </c>
    </row>
    <row r="50" customFormat="false" ht="15" hidden="false" customHeight="false" outlineLevel="0" collapsed="false">
      <c r="A50" s="4" t="s">
        <v>60</v>
      </c>
      <c r="B50" s="4" t="s">
        <v>29</v>
      </c>
      <c r="C50" s="4" t="s">
        <v>21</v>
      </c>
      <c r="D50" s="4" t="s">
        <v>30</v>
      </c>
      <c r="E50" s="5" t="n">
        <v>1186.85</v>
      </c>
      <c r="F50" s="4" t="n">
        <v>19</v>
      </c>
      <c r="G50" s="6" t="n">
        <v>0.2</v>
      </c>
      <c r="H50" s="7" t="n">
        <v>45451</v>
      </c>
      <c r="I50" s="5" t="n">
        <v>332.32</v>
      </c>
      <c r="J50" s="8" t="n">
        <f aca="true">NOW()</f>
        <v>46303.6508013137</v>
      </c>
    </row>
    <row r="51" customFormat="false" ht="15" hidden="false" customHeight="false" outlineLevel="0" collapsed="false">
      <c r="A51" s="4" t="s">
        <v>47</v>
      </c>
      <c r="B51" s="4" t="s">
        <v>54</v>
      </c>
      <c r="C51" s="4" t="s">
        <v>23</v>
      </c>
      <c r="D51" s="4" t="s">
        <v>24</v>
      </c>
      <c r="E51" s="5" t="n">
        <v>775.45</v>
      </c>
      <c r="F51" s="4" t="n">
        <v>6</v>
      </c>
      <c r="G51" s="6" t="n">
        <v>0.1</v>
      </c>
      <c r="H51" s="7" t="n">
        <v>45457</v>
      </c>
      <c r="I51" s="5" t="n">
        <v>174.48</v>
      </c>
      <c r="J51" s="8" t="n">
        <f aca="true">NOW()</f>
        <v>46303.6508013142</v>
      </c>
    </row>
    <row r="52" customFormat="false" ht="15" hidden="false" customHeight="false" outlineLevel="0" collapsed="false">
      <c r="A52" s="4" t="s">
        <v>28</v>
      </c>
      <c r="B52" s="4" t="s">
        <v>36</v>
      </c>
      <c r="C52" s="4" t="s">
        <v>23</v>
      </c>
      <c r="D52" s="4" t="s">
        <v>24</v>
      </c>
      <c r="E52" s="5" t="n">
        <v>1021.47</v>
      </c>
      <c r="F52" s="4" t="n">
        <v>6</v>
      </c>
      <c r="G52" s="6" t="n">
        <v>0.05</v>
      </c>
      <c r="H52" s="7" t="n">
        <v>45461</v>
      </c>
      <c r="I52" s="5" t="n">
        <v>242.6</v>
      </c>
      <c r="J52" s="8" t="n">
        <f aca="true">NOW()</f>
        <v>46303.6508013137</v>
      </c>
    </row>
    <row r="53" customFormat="false" ht="15" hidden="false" customHeight="false" outlineLevel="0" collapsed="false">
      <c r="A53" s="4" t="s">
        <v>61</v>
      </c>
      <c r="B53" s="4" t="s">
        <v>26</v>
      </c>
      <c r="C53" s="4" t="s">
        <v>23</v>
      </c>
      <c r="D53" s="4" t="s">
        <v>18</v>
      </c>
      <c r="E53" s="5" t="n">
        <v>1226.62</v>
      </c>
      <c r="F53" s="4" t="n">
        <v>7</v>
      </c>
      <c r="G53" s="6" t="n">
        <v>0.1</v>
      </c>
      <c r="H53" s="7" t="n">
        <v>45463</v>
      </c>
      <c r="I53" s="5" t="n">
        <v>551.98</v>
      </c>
      <c r="J53" s="8" t="n">
        <f aca="true">NOW()</f>
        <v>46303.6508013142</v>
      </c>
    </row>
    <row r="54" customFormat="false" ht="15" hidden="false" customHeight="false" outlineLevel="0" collapsed="false">
      <c r="A54" s="4" t="s">
        <v>25</v>
      </c>
      <c r="B54" s="4" t="s">
        <v>67</v>
      </c>
      <c r="C54" s="4" t="s">
        <v>23</v>
      </c>
      <c r="D54" s="4" t="s">
        <v>30</v>
      </c>
      <c r="E54" s="5" t="n">
        <v>1086.93</v>
      </c>
      <c r="F54" s="4" t="n">
        <v>2</v>
      </c>
      <c r="G54" s="6" t="n">
        <v>0</v>
      </c>
      <c r="H54" s="7" t="n">
        <v>45464</v>
      </c>
      <c r="I54" s="5" t="n">
        <v>380.43</v>
      </c>
      <c r="J54" s="8" t="n">
        <f aca="true">NOW()</f>
        <v>46303.6508013137</v>
      </c>
    </row>
    <row r="55" customFormat="false" ht="15" hidden="false" customHeight="false" outlineLevel="0" collapsed="false">
      <c r="A55" s="4" t="s">
        <v>68</v>
      </c>
      <c r="B55" s="4" t="s">
        <v>51</v>
      </c>
      <c r="C55" s="4" t="s">
        <v>14</v>
      </c>
      <c r="D55" s="4" t="s">
        <v>15</v>
      </c>
      <c r="E55" s="5" t="n">
        <v>942.9</v>
      </c>
      <c r="F55" s="4" t="n">
        <v>18</v>
      </c>
      <c r="G55" s="6" t="n">
        <v>0.1</v>
      </c>
      <c r="H55" s="7" t="n">
        <v>45466</v>
      </c>
      <c r="I55" s="5" t="n">
        <v>339.44</v>
      </c>
      <c r="J55" s="8" t="n">
        <f aca="true">NOW()</f>
        <v>46303.6508013142</v>
      </c>
    </row>
    <row r="56" customFormat="false" ht="15" hidden="false" customHeight="false" outlineLevel="0" collapsed="false">
      <c r="A56" s="4" t="s">
        <v>35</v>
      </c>
      <c r="B56" s="4" t="s">
        <v>41</v>
      </c>
      <c r="C56" s="4" t="s">
        <v>27</v>
      </c>
      <c r="D56" s="4" t="s">
        <v>24</v>
      </c>
      <c r="E56" s="5" t="n">
        <v>818.8</v>
      </c>
      <c r="F56" s="4" t="n">
        <v>15</v>
      </c>
      <c r="G56" s="6" t="n">
        <v>0.15</v>
      </c>
      <c r="H56" s="7" t="n">
        <v>45468</v>
      </c>
      <c r="I56" s="5" t="n">
        <v>173.99</v>
      </c>
      <c r="J56" s="8" t="n">
        <f aca="true">NOW()</f>
        <v>46303.6508013137</v>
      </c>
    </row>
    <row r="57" customFormat="false" ht="15" hidden="false" customHeight="false" outlineLevel="0" collapsed="false">
      <c r="A57" s="4" t="s">
        <v>22</v>
      </c>
      <c r="B57" s="4" t="s">
        <v>17</v>
      </c>
      <c r="C57" s="4" t="s">
        <v>23</v>
      </c>
      <c r="D57" s="4" t="s">
        <v>30</v>
      </c>
      <c r="E57" s="5" t="n">
        <v>919.04</v>
      </c>
      <c r="F57" s="4" t="n">
        <v>10</v>
      </c>
      <c r="G57" s="6" t="n">
        <v>0.2</v>
      </c>
      <c r="H57" s="7" t="n">
        <v>45468</v>
      </c>
      <c r="I57" s="5" t="n">
        <v>257.33</v>
      </c>
      <c r="J57" s="8" t="n">
        <f aca="true">NOW()</f>
        <v>46303.6508013142</v>
      </c>
    </row>
    <row r="58" customFormat="false" ht="15" hidden="false" customHeight="false" outlineLevel="0" collapsed="false">
      <c r="A58" s="4" t="s">
        <v>25</v>
      </c>
      <c r="B58" s="4" t="s">
        <v>69</v>
      </c>
      <c r="C58" s="4" t="s">
        <v>37</v>
      </c>
      <c r="D58" s="4" t="s">
        <v>15</v>
      </c>
      <c r="E58" s="5" t="n">
        <v>973.26</v>
      </c>
      <c r="F58" s="4" t="n">
        <v>11</v>
      </c>
      <c r="G58" s="6" t="n">
        <v>0</v>
      </c>
      <c r="H58" s="7" t="n">
        <v>45470</v>
      </c>
      <c r="I58" s="5" t="n">
        <v>389.3</v>
      </c>
      <c r="J58" s="8" t="n">
        <f aca="true">NOW()</f>
        <v>46303.6508013137</v>
      </c>
    </row>
    <row r="59" customFormat="false" ht="15" hidden="false" customHeight="false" outlineLevel="0" collapsed="false">
      <c r="A59" s="4" t="s">
        <v>44</v>
      </c>
      <c r="B59" s="4" t="s">
        <v>67</v>
      </c>
      <c r="C59" s="4" t="s">
        <v>27</v>
      </c>
      <c r="D59" s="4" t="s">
        <v>24</v>
      </c>
      <c r="E59" s="5" t="n">
        <v>741.61</v>
      </c>
      <c r="F59" s="4" t="n">
        <v>1</v>
      </c>
      <c r="G59" s="6" t="n">
        <v>0.2</v>
      </c>
      <c r="H59" s="7" t="n">
        <v>45471</v>
      </c>
      <c r="I59" s="5" t="n">
        <v>148.32</v>
      </c>
      <c r="J59" s="8" t="n">
        <f aca="true">NOW()</f>
        <v>46303.6508013142</v>
      </c>
    </row>
    <row r="60" customFormat="false" ht="15" hidden="false" customHeight="false" outlineLevel="0" collapsed="false">
      <c r="A60" s="4" t="s">
        <v>70</v>
      </c>
      <c r="B60" s="4" t="s">
        <v>41</v>
      </c>
      <c r="C60" s="4" t="s">
        <v>27</v>
      </c>
      <c r="D60" s="4" t="s">
        <v>15</v>
      </c>
      <c r="E60" s="5" t="n">
        <v>1248.82</v>
      </c>
      <c r="F60" s="4" t="n">
        <v>2</v>
      </c>
      <c r="G60" s="6" t="n">
        <v>0.1</v>
      </c>
      <c r="H60" s="7" t="n">
        <v>45473</v>
      </c>
      <c r="I60" s="5" t="n">
        <v>449.58</v>
      </c>
      <c r="J60" s="8" t="n">
        <f aca="true">NOW()</f>
        <v>46303.6508013137</v>
      </c>
    </row>
    <row r="61" customFormat="false" ht="15" hidden="false" customHeight="false" outlineLevel="0" collapsed="false">
      <c r="A61" s="4" t="s">
        <v>16</v>
      </c>
      <c r="B61" s="4" t="s">
        <v>62</v>
      </c>
      <c r="C61" s="4" t="s">
        <v>14</v>
      </c>
      <c r="D61" s="4" t="s">
        <v>18</v>
      </c>
      <c r="E61" s="5" t="n">
        <v>1360.36</v>
      </c>
      <c r="F61" s="4" t="n">
        <v>17</v>
      </c>
      <c r="G61" s="6" t="n">
        <v>0</v>
      </c>
      <c r="H61" s="7" t="n">
        <v>45473</v>
      </c>
      <c r="I61" s="5" t="n">
        <v>680.18</v>
      </c>
      <c r="J61" s="8" t="n">
        <f aca="true">NOW()</f>
        <v>46303.6508013142</v>
      </c>
    </row>
    <row r="62" customFormat="false" ht="15" hidden="false" customHeight="false" outlineLevel="0" collapsed="false">
      <c r="A62" s="4" t="s">
        <v>60</v>
      </c>
      <c r="B62" s="4" t="s">
        <v>34</v>
      </c>
      <c r="C62" s="4" t="s">
        <v>21</v>
      </c>
      <c r="D62" s="4" t="s">
        <v>15</v>
      </c>
      <c r="E62" s="5" t="n">
        <v>1383.3</v>
      </c>
      <c r="F62" s="4" t="n">
        <v>8</v>
      </c>
      <c r="G62" s="6" t="n">
        <v>0.1</v>
      </c>
      <c r="H62" s="7" t="n">
        <v>45478</v>
      </c>
      <c r="I62" s="5" t="n">
        <v>497.99</v>
      </c>
      <c r="J62" s="8" t="n">
        <f aca="true">NOW()</f>
        <v>46303.6508013137</v>
      </c>
    </row>
    <row r="63" customFormat="false" ht="15" hidden="false" customHeight="false" outlineLevel="0" collapsed="false">
      <c r="A63" s="4" t="s">
        <v>38</v>
      </c>
      <c r="B63" s="4" t="s">
        <v>58</v>
      </c>
      <c r="C63" s="4" t="s">
        <v>37</v>
      </c>
      <c r="D63" s="4" t="s">
        <v>42</v>
      </c>
      <c r="E63" s="5" t="n">
        <v>488.99</v>
      </c>
      <c r="F63" s="4" t="n">
        <v>9</v>
      </c>
      <c r="G63" s="6" t="n">
        <v>0</v>
      </c>
      <c r="H63" s="7" t="n">
        <v>45479</v>
      </c>
      <c r="I63" s="5" t="n">
        <v>220.05</v>
      </c>
      <c r="J63" s="8" t="n">
        <f aca="true">NOW()</f>
        <v>46303.6508013142</v>
      </c>
    </row>
    <row r="64" customFormat="false" ht="15" hidden="false" customHeight="false" outlineLevel="0" collapsed="false">
      <c r="A64" s="4" t="s">
        <v>33</v>
      </c>
      <c r="B64" s="4" t="s">
        <v>34</v>
      </c>
      <c r="C64" s="4" t="s">
        <v>21</v>
      </c>
      <c r="D64" s="4" t="s">
        <v>30</v>
      </c>
      <c r="E64" s="5" t="n">
        <v>933.71</v>
      </c>
      <c r="F64" s="4" t="n">
        <v>17</v>
      </c>
      <c r="G64" s="6" t="n">
        <v>0.1</v>
      </c>
      <c r="H64" s="7" t="n">
        <v>45481</v>
      </c>
      <c r="I64" s="5" t="n">
        <v>294.12</v>
      </c>
      <c r="J64" s="8" t="n">
        <f aca="true">NOW()</f>
        <v>46303.6508013137</v>
      </c>
    </row>
    <row r="65" customFormat="false" ht="15" hidden="false" customHeight="false" outlineLevel="0" collapsed="false">
      <c r="A65" s="4" t="s">
        <v>70</v>
      </c>
      <c r="B65" s="4" t="s">
        <v>13</v>
      </c>
      <c r="C65" s="4" t="s">
        <v>14</v>
      </c>
      <c r="D65" s="4" t="s">
        <v>24</v>
      </c>
      <c r="E65" s="5" t="n">
        <v>1005.53</v>
      </c>
      <c r="F65" s="4" t="n">
        <v>17</v>
      </c>
      <c r="G65" s="6" t="n">
        <v>0.2</v>
      </c>
      <c r="H65" s="7" t="n">
        <v>45481</v>
      </c>
      <c r="I65" s="5" t="n">
        <v>201.11</v>
      </c>
      <c r="J65" s="8" t="n">
        <f aca="true">NOW()</f>
        <v>46303.6508013142</v>
      </c>
    </row>
    <row r="66" customFormat="false" ht="15" hidden="false" customHeight="false" outlineLevel="0" collapsed="false">
      <c r="A66" s="4" t="s">
        <v>44</v>
      </c>
      <c r="B66" s="4" t="s">
        <v>64</v>
      </c>
      <c r="C66" s="4" t="s">
        <v>23</v>
      </c>
      <c r="D66" s="4" t="s">
        <v>24</v>
      </c>
      <c r="E66" s="5" t="n">
        <v>1100.1</v>
      </c>
      <c r="F66" s="4" t="n">
        <v>5</v>
      </c>
      <c r="G66" s="6" t="n">
        <v>0.05</v>
      </c>
      <c r="H66" s="7" t="n">
        <v>45482</v>
      </c>
      <c r="I66" s="5" t="n">
        <v>261.27</v>
      </c>
      <c r="J66" s="8" t="n">
        <f aca="true">NOW()</f>
        <v>46303.6508013137</v>
      </c>
    </row>
    <row r="67" customFormat="false" ht="15" hidden="false" customHeight="false" outlineLevel="0" collapsed="false">
      <c r="A67" s="4" t="s">
        <v>70</v>
      </c>
      <c r="B67" s="4" t="s">
        <v>26</v>
      </c>
      <c r="C67" s="4" t="s">
        <v>27</v>
      </c>
      <c r="D67" s="4" t="s">
        <v>30</v>
      </c>
      <c r="E67" s="5" t="n">
        <v>1034.7</v>
      </c>
      <c r="F67" s="4" t="n">
        <v>15</v>
      </c>
      <c r="G67" s="6" t="n">
        <v>0.15</v>
      </c>
      <c r="H67" s="7" t="n">
        <v>45487</v>
      </c>
      <c r="I67" s="5" t="n">
        <v>307.82</v>
      </c>
      <c r="J67" s="8" t="n">
        <f aca="true">NOW()</f>
        <v>46303.6508013142</v>
      </c>
    </row>
    <row r="68" customFormat="false" ht="15" hidden="false" customHeight="false" outlineLevel="0" collapsed="false">
      <c r="A68" s="4" t="s">
        <v>68</v>
      </c>
      <c r="B68" s="4" t="s">
        <v>34</v>
      </c>
      <c r="C68" s="4" t="s">
        <v>23</v>
      </c>
      <c r="D68" s="4" t="s">
        <v>15</v>
      </c>
      <c r="E68" s="5" t="n">
        <v>876.44</v>
      </c>
      <c r="F68" s="4" t="n">
        <v>12</v>
      </c>
      <c r="G68" s="6" t="n">
        <v>0.05</v>
      </c>
      <c r="H68" s="7" t="n">
        <v>45488</v>
      </c>
      <c r="I68" s="5" t="n">
        <v>333.05</v>
      </c>
      <c r="J68" s="8" t="n">
        <f aca="true">NOW()</f>
        <v>46303.6508013137</v>
      </c>
    </row>
    <row r="69" customFormat="false" ht="15" hidden="false" customHeight="false" outlineLevel="0" collapsed="false">
      <c r="A69" s="4" t="s">
        <v>71</v>
      </c>
      <c r="B69" s="4" t="s">
        <v>58</v>
      </c>
      <c r="C69" s="4" t="s">
        <v>14</v>
      </c>
      <c r="D69" s="4" t="s">
        <v>30</v>
      </c>
      <c r="E69" s="5" t="n">
        <v>1371.34</v>
      </c>
      <c r="F69" s="4" t="n">
        <v>5</v>
      </c>
      <c r="G69" s="6" t="n">
        <v>0.05</v>
      </c>
      <c r="H69" s="7" t="n">
        <v>45488</v>
      </c>
      <c r="I69" s="5" t="n">
        <v>455.97</v>
      </c>
      <c r="J69" s="8" t="n">
        <f aca="true">NOW()</f>
        <v>46303.6508013142</v>
      </c>
    </row>
    <row r="70" customFormat="false" ht="15" hidden="false" customHeight="false" outlineLevel="0" collapsed="false">
      <c r="A70" s="4" t="s">
        <v>60</v>
      </c>
      <c r="B70" s="4" t="s">
        <v>50</v>
      </c>
      <c r="C70" s="4" t="s">
        <v>27</v>
      </c>
      <c r="D70" s="4" t="s">
        <v>24</v>
      </c>
      <c r="E70" s="5" t="n">
        <v>1020.26</v>
      </c>
      <c r="F70" s="4" t="n">
        <v>11</v>
      </c>
      <c r="G70" s="6" t="n">
        <v>0.05</v>
      </c>
      <c r="H70" s="7" t="n">
        <v>45494</v>
      </c>
      <c r="I70" s="5" t="n">
        <v>242.31</v>
      </c>
      <c r="J70" s="8" t="n">
        <f aca="true">NOW()</f>
        <v>46303.6508013137</v>
      </c>
    </row>
    <row r="71" customFormat="false" ht="15" hidden="false" customHeight="false" outlineLevel="0" collapsed="false">
      <c r="A71" s="4" t="s">
        <v>47</v>
      </c>
      <c r="B71" s="4" t="s">
        <v>13</v>
      </c>
      <c r="C71" s="4" t="s">
        <v>37</v>
      </c>
      <c r="D71" s="4" t="s">
        <v>42</v>
      </c>
      <c r="E71" s="5" t="n">
        <v>804.81</v>
      </c>
      <c r="F71" s="4" t="n">
        <v>1</v>
      </c>
      <c r="G71" s="6" t="n">
        <v>0.05</v>
      </c>
      <c r="H71" s="7" t="n">
        <v>45502</v>
      </c>
      <c r="I71" s="5" t="n">
        <v>344.06</v>
      </c>
      <c r="J71" s="8" t="n">
        <f aca="true">NOW()</f>
        <v>46303.6508013142</v>
      </c>
    </row>
    <row r="72" customFormat="false" ht="15" hidden="false" customHeight="false" outlineLevel="0" collapsed="false">
      <c r="A72" s="4" t="s">
        <v>25</v>
      </c>
      <c r="B72" s="4" t="s">
        <v>58</v>
      </c>
      <c r="C72" s="4" t="s">
        <v>37</v>
      </c>
      <c r="D72" s="4" t="s">
        <v>24</v>
      </c>
      <c r="E72" s="5" t="n">
        <v>608.66</v>
      </c>
      <c r="F72" s="4" t="n">
        <v>1</v>
      </c>
      <c r="G72" s="6" t="n">
        <v>0.05</v>
      </c>
      <c r="H72" s="7" t="n">
        <v>45503</v>
      </c>
      <c r="I72" s="5" t="n">
        <v>144.56</v>
      </c>
      <c r="J72" s="8" t="n">
        <f aca="true">NOW()</f>
        <v>46303.6508013137</v>
      </c>
    </row>
    <row r="73" customFormat="false" ht="15" hidden="false" customHeight="false" outlineLevel="0" collapsed="false">
      <c r="A73" s="4" t="s">
        <v>71</v>
      </c>
      <c r="B73" s="4" t="s">
        <v>72</v>
      </c>
      <c r="C73" s="4" t="s">
        <v>23</v>
      </c>
      <c r="D73" s="4" t="s">
        <v>42</v>
      </c>
      <c r="E73" s="5" t="n">
        <v>981.2</v>
      </c>
      <c r="F73" s="4" t="n">
        <v>19</v>
      </c>
      <c r="G73" s="6" t="n">
        <v>0</v>
      </c>
      <c r="H73" s="7" t="n">
        <v>45504</v>
      </c>
      <c r="I73" s="5" t="n">
        <v>441.54</v>
      </c>
      <c r="J73" s="8" t="n">
        <f aca="true">NOW()</f>
        <v>46303.6508013142</v>
      </c>
    </row>
    <row r="74" customFormat="false" ht="15" hidden="false" customHeight="false" outlineLevel="0" collapsed="false">
      <c r="A74" s="4" t="s">
        <v>73</v>
      </c>
      <c r="B74" s="4" t="s">
        <v>58</v>
      </c>
      <c r="C74" s="4" t="s">
        <v>21</v>
      </c>
      <c r="D74" s="4" t="s">
        <v>24</v>
      </c>
      <c r="E74" s="5" t="n">
        <v>539.77</v>
      </c>
      <c r="F74" s="4" t="n">
        <v>10</v>
      </c>
      <c r="G74" s="6" t="n">
        <v>0.15</v>
      </c>
      <c r="H74" s="7" t="n">
        <v>45509</v>
      </c>
      <c r="I74" s="5" t="n">
        <v>114.7</v>
      </c>
      <c r="J74" s="8" t="n">
        <f aca="true">NOW()</f>
        <v>46303.6508013138</v>
      </c>
    </row>
    <row r="75" customFormat="false" ht="15" hidden="false" customHeight="false" outlineLevel="0" collapsed="false">
      <c r="A75" s="4" t="s">
        <v>16</v>
      </c>
      <c r="B75" s="4" t="s">
        <v>74</v>
      </c>
      <c r="C75" s="4" t="s">
        <v>23</v>
      </c>
      <c r="D75" s="4" t="s">
        <v>15</v>
      </c>
      <c r="E75" s="5" t="n">
        <v>804.45</v>
      </c>
      <c r="F75" s="4" t="n">
        <v>5</v>
      </c>
      <c r="G75" s="6" t="n">
        <v>0.2</v>
      </c>
      <c r="H75" s="7" t="n">
        <v>45509</v>
      </c>
      <c r="I75" s="5" t="n">
        <v>257.42</v>
      </c>
      <c r="J75" s="8" t="n">
        <f aca="true">NOW()</f>
        <v>46303.6508013142</v>
      </c>
    </row>
    <row r="76" customFormat="false" ht="15" hidden="false" customHeight="false" outlineLevel="0" collapsed="false">
      <c r="A76" s="4" t="s">
        <v>73</v>
      </c>
      <c r="B76" s="4" t="s">
        <v>41</v>
      </c>
      <c r="C76" s="4" t="s">
        <v>14</v>
      </c>
      <c r="D76" s="4" t="s">
        <v>24</v>
      </c>
      <c r="E76" s="5" t="n">
        <v>1526.6</v>
      </c>
      <c r="F76" s="4" t="n">
        <v>13</v>
      </c>
      <c r="G76" s="6" t="n">
        <v>0.2</v>
      </c>
      <c r="H76" s="7" t="n">
        <v>45512</v>
      </c>
      <c r="I76" s="5" t="n">
        <v>305.32</v>
      </c>
      <c r="J76" s="8" t="n">
        <f aca="true">NOW()</f>
        <v>46303.6508013138</v>
      </c>
    </row>
    <row r="77" customFormat="false" ht="15" hidden="false" customHeight="false" outlineLevel="0" collapsed="false">
      <c r="A77" s="4" t="s">
        <v>16</v>
      </c>
      <c r="B77" s="4" t="s">
        <v>32</v>
      </c>
      <c r="C77" s="4" t="s">
        <v>14</v>
      </c>
      <c r="D77" s="4" t="s">
        <v>24</v>
      </c>
      <c r="E77" s="5" t="n">
        <v>1215.26</v>
      </c>
      <c r="F77" s="4" t="n">
        <v>5</v>
      </c>
      <c r="G77" s="6" t="n">
        <v>0.15</v>
      </c>
      <c r="H77" s="7" t="n">
        <v>45513</v>
      </c>
      <c r="I77" s="5" t="n">
        <v>258.24</v>
      </c>
      <c r="J77" s="8" t="n">
        <f aca="true">NOW()</f>
        <v>46303.6508013142</v>
      </c>
    </row>
    <row r="78" customFormat="false" ht="15" hidden="false" customHeight="false" outlineLevel="0" collapsed="false">
      <c r="A78" s="4" t="s">
        <v>22</v>
      </c>
      <c r="B78" s="4" t="s">
        <v>56</v>
      </c>
      <c r="C78" s="4" t="s">
        <v>37</v>
      </c>
      <c r="D78" s="4" t="s">
        <v>30</v>
      </c>
      <c r="E78" s="5" t="n">
        <v>1261.34</v>
      </c>
      <c r="F78" s="4" t="n">
        <v>3</v>
      </c>
      <c r="G78" s="6" t="n">
        <v>0</v>
      </c>
      <c r="H78" s="7" t="n">
        <v>45519</v>
      </c>
      <c r="I78" s="5" t="n">
        <v>441.47</v>
      </c>
      <c r="J78" s="8" t="n">
        <f aca="true">NOW()</f>
        <v>46303.6508013138</v>
      </c>
    </row>
    <row r="79" customFormat="false" ht="15" hidden="false" customHeight="false" outlineLevel="0" collapsed="false">
      <c r="A79" s="4" t="s">
        <v>75</v>
      </c>
      <c r="B79" s="4" t="s">
        <v>48</v>
      </c>
      <c r="C79" s="4" t="s">
        <v>27</v>
      </c>
      <c r="D79" s="4" t="s">
        <v>30</v>
      </c>
      <c r="E79" s="5" t="n">
        <v>518.07</v>
      </c>
      <c r="F79" s="4" t="n">
        <v>7</v>
      </c>
      <c r="G79" s="6" t="n">
        <v>0.05</v>
      </c>
      <c r="H79" s="7" t="n">
        <v>45522</v>
      </c>
      <c r="I79" s="5" t="n">
        <v>172.26</v>
      </c>
      <c r="J79" s="8" t="n">
        <f aca="true">NOW()</f>
        <v>46303.6508013142</v>
      </c>
    </row>
    <row r="80" customFormat="false" ht="15" hidden="false" customHeight="false" outlineLevel="0" collapsed="false">
      <c r="A80" s="4" t="s">
        <v>33</v>
      </c>
      <c r="B80" s="4" t="s">
        <v>32</v>
      </c>
      <c r="C80" s="4" t="s">
        <v>14</v>
      </c>
      <c r="D80" s="4" t="s">
        <v>42</v>
      </c>
      <c r="E80" s="5" t="n">
        <v>1111.34</v>
      </c>
      <c r="F80" s="4" t="n">
        <v>1</v>
      </c>
      <c r="G80" s="6" t="n">
        <v>0</v>
      </c>
      <c r="H80" s="7" t="n">
        <v>45523</v>
      </c>
      <c r="I80" s="5" t="n">
        <v>500.1</v>
      </c>
      <c r="J80" s="8" t="n">
        <f aca="true">NOW()</f>
        <v>46303.6508013138</v>
      </c>
    </row>
    <row r="81" customFormat="false" ht="15" hidden="false" customHeight="false" outlineLevel="0" collapsed="false">
      <c r="A81" s="4" t="s">
        <v>25</v>
      </c>
      <c r="B81" s="4" t="s">
        <v>34</v>
      </c>
      <c r="C81" s="4" t="s">
        <v>21</v>
      </c>
      <c r="D81" s="4" t="s">
        <v>18</v>
      </c>
      <c r="E81" s="5" t="n">
        <v>1291.47</v>
      </c>
      <c r="F81" s="4" t="n">
        <v>18</v>
      </c>
      <c r="G81" s="6" t="n">
        <v>0.1</v>
      </c>
      <c r="H81" s="7" t="n">
        <v>45526</v>
      </c>
      <c r="I81" s="5" t="n">
        <v>581.16</v>
      </c>
      <c r="J81" s="8" t="n">
        <f aca="true">NOW()</f>
        <v>46303.6508013142</v>
      </c>
    </row>
    <row r="82" customFormat="false" ht="15" hidden="false" customHeight="false" outlineLevel="0" collapsed="false">
      <c r="A82" s="4" t="s">
        <v>28</v>
      </c>
      <c r="B82" s="4" t="s">
        <v>58</v>
      </c>
      <c r="C82" s="4" t="s">
        <v>27</v>
      </c>
      <c r="D82" s="4" t="s">
        <v>15</v>
      </c>
      <c r="E82" s="5" t="n">
        <v>679.71</v>
      </c>
      <c r="F82" s="4" t="n">
        <v>19</v>
      </c>
      <c r="G82" s="6" t="n">
        <v>0</v>
      </c>
      <c r="H82" s="7" t="n">
        <v>45534</v>
      </c>
      <c r="I82" s="5" t="n">
        <v>271.88</v>
      </c>
      <c r="J82" s="8" t="n">
        <f aca="true">NOW()</f>
        <v>46303.6508013138</v>
      </c>
    </row>
    <row r="83" customFormat="false" ht="15" hidden="false" customHeight="false" outlineLevel="0" collapsed="false">
      <c r="A83" s="4" t="s">
        <v>71</v>
      </c>
      <c r="B83" s="4" t="s">
        <v>36</v>
      </c>
      <c r="C83" s="4" t="s">
        <v>21</v>
      </c>
      <c r="D83" s="4" t="s">
        <v>30</v>
      </c>
      <c r="E83" s="5" t="n">
        <v>1143.69</v>
      </c>
      <c r="F83" s="4" t="n">
        <v>17</v>
      </c>
      <c r="G83" s="6" t="n">
        <v>0</v>
      </c>
      <c r="H83" s="7" t="n">
        <v>45534</v>
      </c>
      <c r="I83" s="5" t="n">
        <v>400.29</v>
      </c>
      <c r="J83" s="8" t="n">
        <f aca="true">NOW()</f>
        <v>46303.6508013142</v>
      </c>
    </row>
    <row r="84" customFormat="false" ht="15" hidden="false" customHeight="false" outlineLevel="0" collapsed="false">
      <c r="A84" s="4" t="s">
        <v>55</v>
      </c>
      <c r="B84" s="4" t="s">
        <v>53</v>
      </c>
      <c r="C84" s="4" t="s">
        <v>37</v>
      </c>
      <c r="D84" s="4" t="s">
        <v>24</v>
      </c>
      <c r="E84" s="5" t="n">
        <v>790.08</v>
      </c>
      <c r="F84" s="4" t="n">
        <v>7</v>
      </c>
      <c r="G84" s="6" t="n">
        <v>0.1</v>
      </c>
      <c r="H84" s="7" t="n">
        <v>45536</v>
      </c>
      <c r="I84" s="5" t="n">
        <v>177.77</v>
      </c>
      <c r="J84" s="8" t="n">
        <f aca="true">NOW()</f>
        <v>46303.6508013138</v>
      </c>
    </row>
    <row r="85" customFormat="false" ht="15" hidden="false" customHeight="false" outlineLevel="0" collapsed="false">
      <c r="A85" s="4" t="s">
        <v>22</v>
      </c>
      <c r="B85" s="4" t="s">
        <v>51</v>
      </c>
      <c r="C85" s="4" t="s">
        <v>37</v>
      </c>
      <c r="D85" s="4" t="s">
        <v>15</v>
      </c>
      <c r="E85" s="5" t="n">
        <v>1070.68</v>
      </c>
      <c r="F85" s="4" t="n">
        <v>7</v>
      </c>
      <c r="G85" s="6" t="n">
        <v>0.05</v>
      </c>
      <c r="H85" s="7" t="n">
        <v>45536</v>
      </c>
      <c r="I85" s="5" t="n">
        <v>406.86</v>
      </c>
      <c r="J85" s="8" t="n">
        <f aca="true">NOW()</f>
        <v>46303.6508013142</v>
      </c>
    </row>
    <row r="86" customFormat="false" ht="15" hidden="false" customHeight="false" outlineLevel="0" collapsed="false">
      <c r="A86" s="4" t="s">
        <v>61</v>
      </c>
      <c r="B86" s="4" t="s">
        <v>39</v>
      </c>
      <c r="C86" s="4" t="s">
        <v>14</v>
      </c>
      <c r="D86" s="4" t="s">
        <v>18</v>
      </c>
      <c r="E86" s="5" t="n">
        <v>1168.89</v>
      </c>
      <c r="F86" s="4" t="n">
        <v>4</v>
      </c>
      <c r="G86" s="6" t="n">
        <v>0.1</v>
      </c>
      <c r="H86" s="7" t="n">
        <v>45544</v>
      </c>
      <c r="I86" s="5" t="n">
        <v>526</v>
      </c>
      <c r="J86" s="8" t="n">
        <f aca="true">NOW()</f>
        <v>46303.6508013138</v>
      </c>
    </row>
    <row r="87" customFormat="false" ht="15" hidden="false" customHeight="false" outlineLevel="0" collapsed="false">
      <c r="A87" s="4" t="s">
        <v>70</v>
      </c>
      <c r="B87" s="4" t="s">
        <v>13</v>
      </c>
      <c r="C87" s="4" t="s">
        <v>23</v>
      </c>
      <c r="D87" s="4" t="s">
        <v>24</v>
      </c>
      <c r="E87" s="5" t="n">
        <v>1335.87</v>
      </c>
      <c r="F87" s="4" t="n">
        <v>17</v>
      </c>
      <c r="G87" s="6" t="n">
        <v>0</v>
      </c>
      <c r="H87" s="7" t="n">
        <v>45544</v>
      </c>
      <c r="I87" s="5" t="n">
        <v>333.97</v>
      </c>
      <c r="J87" s="8" t="n">
        <f aca="true">NOW()</f>
        <v>46303.6508013142</v>
      </c>
    </row>
    <row r="88" customFormat="false" ht="15" hidden="false" customHeight="false" outlineLevel="0" collapsed="false">
      <c r="A88" s="4" t="s">
        <v>43</v>
      </c>
      <c r="B88" s="4" t="s">
        <v>58</v>
      </c>
      <c r="C88" s="4" t="s">
        <v>21</v>
      </c>
      <c r="D88" s="4" t="s">
        <v>30</v>
      </c>
      <c r="E88" s="5" t="n">
        <v>873.7</v>
      </c>
      <c r="F88" s="4" t="n">
        <v>9</v>
      </c>
      <c r="G88" s="6" t="n">
        <v>0</v>
      </c>
      <c r="H88" s="7" t="n">
        <v>45546</v>
      </c>
      <c r="I88" s="5" t="n">
        <v>305.8</v>
      </c>
      <c r="J88" s="8" t="n">
        <f aca="true">NOW()</f>
        <v>46303.6508013138</v>
      </c>
    </row>
    <row r="89" customFormat="false" ht="15" hidden="false" customHeight="false" outlineLevel="0" collapsed="false">
      <c r="A89" s="4" t="s">
        <v>75</v>
      </c>
      <c r="B89" s="4" t="s">
        <v>67</v>
      </c>
      <c r="C89" s="4" t="s">
        <v>14</v>
      </c>
      <c r="D89" s="4" t="s">
        <v>42</v>
      </c>
      <c r="E89" s="5" t="n">
        <v>1443.98</v>
      </c>
      <c r="F89" s="4" t="n">
        <v>19</v>
      </c>
      <c r="G89" s="6" t="n">
        <v>0</v>
      </c>
      <c r="H89" s="7" t="n">
        <v>45547</v>
      </c>
      <c r="I89" s="5" t="n">
        <v>649.79</v>
      </c>
      <c r="J89" s="8" t="n">
        <f aca="true">NOW()</f>
        <v>46303.6508013142</v>
      </c>
    </row>
    <row r="90" customFormat="false" ht="15" hidden="false" customHeight="false" outlineLevel="0" collapsed="false">
      <c r="A90" s="4" t="s">
        <v>43</v>
      </c>
      <c r="B90" s="4" t="s">
        <v>26</v>
      </c>
      <c r="C90" s="4" t="s">
        <v>21</v>
      </c>
      <c r="D90" s="4" t="s">
        <v>42</v>
      </c>
      <c r="E90" s="5" t="n">
        <v>1154.33</v>
      </c>
      <c r="F90" s="4" t="n">
        <v>11</v>
      </c>
      <c r="G90" s="6" t="n">
        <v>0.15</v>
      </c>
      <c r="H90" s="7" t="n">
        <v>45549</v>
      </c>
      <c r="I90" s="5" t="n">
        <v>441.53</v>
      </c>
      <c r="J90" s="8" t="n">
        <f aca="true">NOW()</f>
        <v>46303.6508013138</v>
      </c>
    </row>
    <row r="91" customFormat="false" ht="15" hidden="false" customHeight="false" outlineLevel="0" collapsed="false">
      <c r="A91" s="4" t="s">
        <v>52</v>
      </c>
      <c r="B91" s="4" t="s">
        <v>53</v>
      </c>
      <c r="C91" s="4" t="s">
        <v>23</v>
      </c>
      <c r="D91" s="4" t="s">
        <v>15</v>
      </c>
      <c r="E91" s="5" t="n">
        <v>1264.49</v>
      </c>
      <c r="F91" s="4" t="n">
        <v>16</v>
      </c>
      <c r="G91" s="6" t="n">
        <v>0.05</v>
      </c>
      <c r="H91" s="7" t="n">
        <v>45549</v>
      </c>
      <c r="I91" s="5" t="n">
        <v>480.51</v>
      </c>
      <c r="J91" s="8" t="n">
        <f aca="true">NOW()</f>
        <v>46303.6508013143</v>
      </c>
    </row>
    <row r="92" customFormat="false" ht="15" hidden="false" customHeight="false" outlineLevel="0" collapsed="false">
      <c r="A92" s="4" t="s">
        <v>28</v>
      </c>
      <c r="B92" s="4" t="s">
        <v>69</v>
      </c>
      <c r="C92" s="4" t="s">
        <v>14</v>
      </c>
      <c r="D92" s="4" t="s">
        <v>30</v>
      </c>
      <c r="E92" s="5" t="n">
        <v>1101.55</v>
      </c>
      <c r="F92" s="4" t="n">
        <v>4</v>
      </c>
      <c r="G92" s="6" t="n">
        <v>0.1</v>
      </c>
      <c r="H92" s="7" t="n">
        <v>45551</v>
      </c>
      <c r="I92" s="5" t="n">
        <v>346.99</v>
      </c>
      <c r="J92" s="8" t="n">
        <f aca="true">NOW()</f>
        <v>46303.6508013138</v>
      </c>
    </row>
    <row r="93" customFormat="false" ht="15" hidden="false" customHeight="false" outlineLevel="0" collapsed="false">
      <c r="A93" s="4" t="s">
        <v>76</v>
      </c>
      <c r="B93" s="4" t="s">
        <v>17</v>
      </c>
      <c r="C93" s="4" t="s">
        <v>23</v>
      </c>
      <c r="D93" s="4" t="s">
        <v>30</v>
      </c>
      <c r="E93" s="5" t="n">
        <v>727.73</v>
      </c>
      <c r="F93" s="4" t="n">
        <v>1</v>
      </c>
      <c r="G93" s="6" t="n">
        <v>0.1</v>
      </c>
      <c r="H93" s="7" t="n">
        <v>45552</v>
      </c>
      <c r="I93" s="5" t="n">
        <v>229.23</v>
      </c>
      <c r="J93" s="8" t="n">
        <f aca="true">NOW()</f>
        <v>46303.6508013143</v>
      </c>
    </row>
    <row r="94" customFormat="false" ht="15" hidden="false" customHeight="false" outlineLevel="0" collapsed="false">
      <c r="A94" s="4" t="s">
        <v>77</v>
      </c>
      <c r="B94" s="4" t="s">
        <v>41</v>
      </c>
      <c r="C94" s="4" t="s">
        <v>21</v>
      </c>
      <c r="D94" s="4" t="s">
        <v>42</v>
      </c>
      <c r="E94" s="5" t="n">
        <v>875.41</v>
      </c>
      <c r="F94" s="4" t="n">
        <v>13</v>
      </c>
      <c r="G94" s="6" t="n">
        <v>0.15</v>
      </c>
      <c r="H94" s="7" t="n">
        <v>45552</v>
      </c>
      <c r="I94" s="5" t="n">
        <v>334.84</v>
      </c>
      <c r="J94" s="8" t="n">
        <f aca="true">NOW()</f>
        <v>46303.6508013138</v>
      </c>
    </row>
    <row r="95" customFormat="false" ht="15" hidden="false" customHeight="false" outlineLevel="0" collapsed="false">
      <c r="A95" s="4" t="s">
        <v>70</v>
      </c>
      <c r="B95" s="4" t="s">
        <v>26</v>
      </c>
      <c r="C95" s="4" t="s">
        <v>14</v>
      </c>
      <c r="D95" s="4" t="s">
        <v>24</v>
      </c>
      <c r="E95" s="5" t="n">
        <v>1158.94</v>
      </c>
      <c r="F95" s="4" t="n">
        <v>19</v>
      </c>
      <c r="G95" s="6" t="n">
        <v>0.2</v>
      </c>
      <c r="H95" s="7" t="n">
        <v>45553</v>
      </c>
      <c r="I95" s="5" t="n">
        <v>231.79</v>
      </c>
      <c r="J95" s="8" t="n">
        <f aca="true">NOW()</f>
        <v>46303.6508013143</v>
      </c>
    </row>
    <row r="96" customFormat="false" ht="15" hidden="false" customHeight="false" outlineLevel="0" collapsed="false">
      <c r="A96" s="4" t="s">
        <v>78</v>
      </c>
      <c r="B96" s="4" t="s">
        <v>50</v>
      </c>
      <c r="C96" s="4" t="s">
        <v>23</v>
      </c>
      <c r="D96" s="4" t="s">
        <v>15</v>
      </c>
      <c r="E96" s="5" t="n">
        <v>966.3</v>
      </c>
      <c r="F96" s="4" t="n">
        <v>2</v>
      </c>
      <c r="G96" s="6" t="n">
        <v>0.15</v>
      </c>
      <c r="H96" s="7" t="n">
        <v>45557</v>
      </c>
      <c r="I96" s="5" t="n">
        <v>328.54</v>
      </c>
      <c r="J96" s="8" t="n">
        <f aca="true">NOW()</f>
        <v>46303.6508013138</v>
      </c>
    </row>
    <row r="97" customFormat="false" ht="15" hidden="false" customHeight="false" outlineLevel="0" collapsed="false">
      <c r="A97" s="4" t="s">
        <v>71</v>
      </c>
      <c r="B97" s="4" t="s">
        <v>20</v>
      </c>
      <c r="C97" s="4" t="s">
        <v>23</v>
      </c>
      <c r="D97" s="4" t="s">
        <v>15</v>
      </c>
      <c r="E97" s="5" t="n">
        <v>917.48</v>
      </c>
      <c r="F97" s="4" t="n">
        <v>6</v>
      </c>
      <c r="G97" s="6" t="n">
        <v>0</v>
      </c>
      <c r="H97" s="7" t="n">
        <v>45558</v>
      </c>
      <c r="I97" s="5" t="n">
        <v>366.99</v>
      </c>
      <c r="J97" s="8" t="n">
        <f aca="true">NOW()</f>
        <v>46303.6508013143</v>
      </c>
    </row>
    <row r="98" customFormat="false" ht="15" hidden="false" customHeight="false" outlineLevel="0" collapsed="false">
      <c r="A98" s="4" t="s">
        <v>44</v>
      </c>
      <c r="B98" s="4" t="s">
        <v>64</v>
      </c>
      <c r="C98" s="4" t="s">
        <v>14</v>
      </c>
      <c r="D98" s="4" t="s">
        <v>30</v>
      </c>
      <c r="E98" s="5" t="n">
        <v>1172.97</v>
      </c>
      <c r="F98" s="4" t="n">
        <v>7</v>
      </c>
      <c r="G98" s="6" t="n">
        <v>0.15</v>
      </c>
      <c r="H98" s="7" t="n">
        <v>45559</v>
      </c>
      <c r="I98" s="5" t="n">
        <v>348.96</v>
      </c>
      <c r="J98" s="8" t="n">
        <f aca="true">NOW()</f>
        <v>46303.6508013138</v>
      </c>
    </row>
    <row r="99" customFormat="false" ht="15" hidden="false" customHeight="false" outlineLevel="0" collapsed="false">
      <c r="A99" s="4" t="s">
        <v>60</v>
      </c>
      <c r="B99" s="4" t="s">
        <v>26</v>
      </c>
      <c r="C99" s="4" t="s">
        <v>27</v>
      </c>
      <c r="D99" s="4" t="s">
        <v>18</v>
      </c>
      <c r="E99" s="5" t="n">
        <v>1205.82</v>
      </c>
      <c r="F99" s="4" t="n">
        <v>11</v>
      </c>
      <c r="G99" s="6" t="n">
        <v>0.1</v>
      </c>
      <c r="H99" s="7" t="n">
        <v>45559</v>
      </c>
      <c r="I99" s="5" t="n">
        <v>542.62</v>
      </c>
      <c r="J99" s="8" t="n">
        <f aca="true">NOW()</f>
        <v>46303.6508013143</v>
      </c>
    </row>
    <row r="100" customFormat="false" ht="15" hidden="false" customHeight="false" outlineLevel="0" collapsed="false">
      <c r="A100" s="4" t="s">
        <v>19</v>
      </c>
      <c r="B100" s="4" t="s">
        <v>67</v>
      </c>
      <c r="C100" s="4" t="s">
        <v>14</v>
      </c>
      <c r="D100" s="4" t="s">
        <v>42</v>
      </c>
      <c r="E100" s="5" t="n">
        <v>826.93</v>
      </c>
      <c r="F100" s="4" t="n">
        <v>10</v>
      </c>
      <c r="G100" s="6" t="n">
        <v>0.2</v>
      </c>
      <c r="H100" s="7" t="n">
        <v>45564</v>
      </c>
      <c r="I100" s="5" t="n">
        <v>297.69</v>
      </c>
      <c r="J100" s="8" t="n">
        <f aca="true">NOW()</f>
        <v>46303.6508013138</v>
      </c>
    </row>
    <row r="101" customFormat="false" ht="15" hidden="false" customHeight="false" outlineLevel="0" collapsed="false">
      <c r="A101" s="4" t="s">
        <v>70</v>
      </c>
      <c r="B101" s="4" t="s">
        <v>26</v>
      </c>
      <c r="C101" s="4" t="s">
        <v>37</v>
      </c>
      <c r="D101" s="4" t="s">
        <v>18</v>
      </c>
      <c r="E101" s="5" t="n">
        <v>902.19</v>
      </c>
      <c r="F101" s="4" t="n">
        <v>12</v>
      </c>
      <c r="G101" s="6" t="n">
        <v>0</v>
      </c>
      <c r="H101" s="7" t="n">
        <v>45564</v>
      </c>
      <c r="I101" s="5" t="n">
        <v>451.1</v>
      </c>
      <c r="J101" s="8" t="n">
        <f aca="true">NOW()</f>
        <v>46303.6508013143</v>
      </c>
    </row>
    <row r="102" customFormat="false" ht="15" hidden="false" customHeight="false" outlineLevel="0" collapsed="false">
      <c r="A102" s="4" t="s">
        <v>77</v>
      </c>
      <c r="B102" s="4" t="s">
        <v>41</v>
      </c>
      <c r="C102" s="4" t="s">
        <v>27</v>
      </c>
      <c r="D102" s="4" t="s">
        <v>15</v>
      </c>
      <c r="E102" s="5" t="n">
        <v>585.97</v>
      </c>
      <c r="F102" s="4" t="n">
        <v>17</v>
      </c>
      <c r="G102" s="6" t="n">
        <v>0.1</v>
      </c>
      <c r="H102" s="7" t="n">
        <v>45565</v>
      </c>
      <c r="I102" s="5" t="n">
        <v>210.95</v>
      </c>
      <c r="J102" s="8" t="n">
        <f aca="true">NOW()</f>
        <v>46303.6508013138</v>
      </c>
    </row>
    <row r="103" customFormat="false" ht="15" hidden="false" customHeight="false" outlineLevel="0" collapsed="false">
      <c r="A103" s="4" t="s">
        <v>63</v>
      </c>
      <c r="B103" s="4" t="s">
        <v>29</v>
      </c>
      <c r="C103" s="4" t="s">
        <v>27</v>
      </c>
      <c r="D103" s="4" t="s">
        <v>18</v>
      </c>
      <c r="E103" s="5" t="n">
        <v>990.19</v>
      </c>
      <c r="F103" s="4" t="n">
        <v>8</v>
      </c>
      <c r="G103" s="6" t="n">
        <v>0.1</v>
      </c>
      <c r="H103" s="7" t="n">
        <v>45565</v>
      </c>
      <c r="I103" s="5" t="n">
        <v>445.59</v>
      </c>
      <c r="J103" s="8" t="n">
        <f aca="true">NOW()</f>
        <v>46303.6508013143</v>
      </c>
    </row>
    <row r="104" customFormat="false" ht="15" hidden="false" customHeight="false" outlineLevel="0" collapsed="false">
      <c r="A104" s="4" t="s">
        <v>47</v>
      </c>
      <c r="B104" s="4" t="s">
        <v>59</v>
      </c>
      <c r="C104" s="4" t="s">
        <v>37</v>
      </c>
      <c r="D104" s="4" t="s">
        <v>24</v>
      </c>
      <c r="E104" s="5" t="n">
        <v>1014.09</v>
      </c>
      <c r="F104" s="4" t="n">
        <v>13</v>
      </c>
      <c r="G104" s="6" t="n">
        <v>0.2</v>
      </c>
      <c r="H104" s="7" t="n">
        <v>45567</v>
      </c>
      <c r="I104" s="5" t="n">
        <v>202.82</v>
      </c>
      <c r="J104" s="8" t="n">
        <f aca="true">NOW()</f>
        <v>46303.6508013138</v>
      </c>
    </row>
    <row r="105" customFormat="false" ht="15" hidden="false" customHeight="false" outlineLevel="0" collapsed="false">
      <c r="A105" s="4" t="s">
        <v>16</v>
      </c>
      <c r="B105" s="4" t="s">
        <v>51</v>
      </c>
      <c r="C105" s="4" t="s">
        <v>27</v>
      </c>
      <c r="D105" s="4" t="s">
        <v>24</v>
      </c>
      <c r="E105" s="5" t="n">
        <v>925.29</v>
      </c>
      <c r="F105" s="4" t="n">
        <v>17</v>
      </c>
      <c r="G105" s="6" t="n">
        <v>0</v>
      </c>
      <c r="H105" s="7" t="n">
        <v>45570</v>
      </c>
      <c r="I105" s="5" t="n">
        <v>231.32</v>
      </c>
      <c r="J105" s="8" t="n">
        <f aca="true">NOW()</f>
        <v>46303.6508013143</v>
      </c>
    </row>
    <row r="106" customFormat="false" ht="15" hidden="false" customHeight="false" outlineLevel="0" collapsed="false">
      <c r="A106" s="4" t="s">
        <v>57</v>
      </c>
      <c r="B106" s="4" t="s">
        <v>50</v>
      </c>
      <c r="C106" s="4" t="s">
        <v>21</v>
      </c>
      <c r="D106" s="4" t="s">
        <v>30</v>
      </c>
      <c r="E106" s="5" t="n">
        <v>1286.54</v>
      </c>
      <c r="F106" s="4" t="n">
        <v>8</v>
      </c>
      <c r="G106" s="6" t="n">
        <v>0</v>
      </c>
      <c r="H106" s="7" t="n">
        <v>45575</v>
      </c>
      <c r="I106" s="5" t="n">
        <v>450.29</v>
      </c>
      <c r="J106" s="8" t="n">
        <f aca="true">NOW()</f>
        <v>46303.6508013138</v>
      </c>
    </row>
    <row r="107" customFormat="false" ht="15" hidden="false" customHeight="false" outlineLevel="0" collapsed="false">
      <c r="A107" s="4" t="s">
        <v>40</v>
      </c>
      <c r="B107" s="4" t="s">
        <v>67</v>
      </c>
      <c r="C107" s="4" t="s">
        <v>23</v>
      </c>
      <c r="D107" s="4" t="s">
        <v>15</v>
      </c>
      <c r="E107" s="5" t="n">
        <v>961.62</v>
      </c>
      <c r="F107" s="4" t="n">
        <v>8</v>
      </c>
      <c r="G107" s="6" t="n">
        <v>0.2</v>
      </c>
      <c r="H107" s="7" t="n">
        <v>45577</v>
      </c>
      <c r="I107" s="5" t="n">
        <v>307.72</v>
      </c>
      <c r="J107" s="8" t="n">
        <f aca="true">NOW()</f>
        <v>46303.6508013143</v>
      </c>
    </row>
    <row r="108" customFormat="false" ht="15" hidden="false" customHeight="false" outlineLevel="0" collapsed="false">
      <c r="A108" s="4" t="s">
        <v>47</v>
      </c>
      <c r="B108" s="4" t="s">
        <v>26</v>
      </c>
      <c r="C108" s="4" t="s">
        <v>21</v>
      </c>
      <c r="D108" s="4" t="s">
        <v>15</v>
      </c>
      <c r="E108" s="5" t="n">
        <v>1081.14</v>
      </c>
      <c r="F108" s="4" t="n">
        <v>19</v>
      </c>
      <c r="G108" s="6" t="n">
        <v>0.15</v>
      </c>
      <c r="H108" s="7" t="n">
        <v>45577</v>
      </c>
      <c r="I108" s="5" t="n">
        <v>367.59</v>
      </c>
      <c r="J108" s="8" t="n">
        <f aca="true">NOW()</f>
        <v>46303.6508013138</v>
      </c>
    </row>
    <row r="109" customFormat="false" ht="15" hidden="false" customHeight="false" outlineLevel="0" collapsed="false">
      <c r="A109" s="4" t="s">
        <v>61</v>
      </c>
      <c r="B109" s="4" t="s">
        <v>26</v>
      </c>
      <c r="C109" s="4" t="s">
        <v>14</v>
      </c>
      <c r="D109" s="4" t="s">
        <v>18</v>
      </c>
      <c r="E109" s="5" t="n">
        <v>1923.66</v>
      </c>
      <c r="F109" s="4" t="n">
        <v>9</v>
      </c>
      <c r="G109" s="6" t="n">
        <v>0.2</v>
      </c>
      <c r="H109" s="7" t="n">
        <v>45580</v>
      </c>
      <c r="I109" s="5" t="n">
        <v>769.46</v>
      </c>
      <c r="J109" s="8" t="n">
        <f aca="true">NOW()</f>
        <v>46303.6508013143</v>
      </c>
    </row>
    <row r="110" customFormat="false" ht="15" hidden="false" customHeight="false" outlineLevel="0" collapsed="false">
      <c r="A110" s="4" t="s">
        <v>57</v>
      </c>
      <c r="B110" s="4" t="s">
        <v>69</v>
      </c>
      <c r="C110" s="4" t="s">
        <v>37</v>
      </c>
      <c r="D110" s="4" t="s">
        <v>18</v>
      </c>
      <c r="E110" s="5" t="n">
        <v>728.71</v>
      </c>
      <c r="F110" s="4" t="n">
        <v>14</v>
      </c>
      <c r="G110" s="6" t="n">
        <v>0.1</v>
      </c>
      <c r="H110" s="7" t="n">
        <v>45581</v>
      </c>
      <c r="I110" s="5" t="n">
        <v>327.92</v>
      </c>
      <c r="J110" s="8" t="n">
        <f aca="true">NOW()</f>
        <v>46303.6508013138</v>
      </c>
    </row>
    <row r="111" customFormat="false" ht="15" hidden="false" customHeight="false" outlineLevel="0" collapsed="false">
      <c r="A111" s="4" t="s">
        <v>12</v>
      </c>
      <c r="B111" s="4" t="s">
        <v>36</v>
      </c>
      <c r="C111" s="4" t="s">
        <v>37</v>
      </c>
      <c r="D111" s="4" t="s">
        <v>18</v>
      </c>
      <c r="E111" s="5" t="n">
        <v>1301.89</v>
      </c>
      <c r="F111" s="4" t="n">
        <v>7</v>
      </c>
      <c r="G111" s="6" t="n">
        <v>0.15</v>
      </c>
      <c r="H111" s="7" t="n">
        <v>45581</v>
      </c>
      <c r="I111" s="5" t="n">
        <v>553.3</v>
      </c>
      <c r="J111" s="8" t="n">
        <f aca="true">NOW()</f>
        <v>46303.6508013143</v>
      </c>
    </row>
    <row r="112" customFormat="false" ht="15" hidden="false" customHeight="false" outlineLevel="0" collapsed="false">
      <c r="A112" s="4" t="s">
        <v>73</v>
      </c>
      <c r="B112" s="4" t="s">
        <v>69</v>
      </c>
      <c r="C112" s="4" t="s">
        <v>21</v>
      </c>
      <c r="D112" s="4" t="s">
        <v>15</v>
      </c>
      <c r="E112" s="5" t="n">
        <v>980.18</v>
      </c>
      <c r="F112" s="4" t="n">
        <v>16</v>
      </c>
      <c r="G112" s="6" t="n">
        <v>0.1</v>
      </c>
      <c r="H112" s="7" t="n">
        <v>45582</v>
      </c>
      <c r="I112" s="5" t="n">
        <v>352.86</v>
      </c>
      <c r="J112" s="8" t="n">
        <f aca="true">NOW()</f>
        <v>46303.6508013138</v>
      </c>
    </row>
    <row r="113" customFormat="false" ht="15" hidden="false" customHeight="false" outlineLevel="0" collapsed="false">
      <c r="A113" s="4" t="s">
        <v>77</v>
      </c>
      <c r="B113" s="4" t="s">
        <v>26</v>
      </c>
      <c r="C113" s="4" t="s">
        <v>14</v>
      </c>
      <c r="D113" s="4" t="s">
        <v>18</v>
      </c>
      <c r="E113" s="5" t="n">
        <v>697.57</v>
      </c>
      <c r="F113" s="4" t="n">
        <v>17</v>
      </c>
      <c r="G113" s="6" t="n">
        <v>0.1</v>
      </c>
      <c r="H113" s="7" t="n">
        <v>45584</v>
      </c>
      <c r="I113" s="5" t="n">
        <v>313.91</v>
      </c>
      <c r="J113" s="8" t="n">
        <f aca="true">NOW()</f>
        <v>46303.6508013143</v>
      </c>
    </row>
    <row r="114" customFormat="false" ht="15" hidden="false" customHeight="false" outlineLevel="0" collapsed="false">
      <c r="A114" s="4" t="s">
        <v>49</v>
      </c>
      <c r="B114" s="4" t="s">
        <v>74</v>
      </c>
      <c r="C114" s="4" t="s">
        <v>14</v>
      </c>
      <c r="D114" s="4" t="s">
        <v>30</v>
      </c>
      <c r="E114" s="5" t="n">
        <v>1193.61</v>
      </c>
      <c r="F114" s="4" t="n">
        <v>1</v>
      </c>
      <c r="G114" s="6" t="n">
        <v>0.15</v>
      </c>
      <c r="H114" s="7" t="n">
        <v>45584</v>
      </c>
      <c r="I114" s="5" t="n">
        <v>355.1</v>
      </c>
      <c r="J114" s="8" t="n">
        <f aca="true">NOW()</f>
        <v>46303.6508013138</v>
      </c>
    </row>
    <row r="115" customFormat="false" ht="15" hidden="false" customHeight="false" outlineLevel="0" collapsed="false">
      <c r="A115" s="4" t="s">
        <v>35</v>
      </c>
      <c r="B115" s="4" t="s">
        <v>41</v>
      </c>
      <c r="C115" s="4" t="s">
        <v>23</v>
      </c>
      <c r="D115" s="4" t="s">
        <v>24</v>
      </c>
      <c r="E115" s="5" t="n">
        <v>771.02</v>
      </c>
      <c r="F115" s="4" t="n">
        <v>1</v>
      </c>
      <c r="G115" s="6" t="n">
        <v>0</v>
      </c>
      <c r="H115" s="7" t="n">
        <v>45585</v>
      </c>
      <c r="I115" s="5" t="n">
        <v>192.76</v>
      </c>
      <c r="J115" s="8" t="n">
        <f aca="true">NOW()</f>
        <v>46303.6508013143</v>
      </c>
    </row>
    <row r="116" customFormat="false" ht="15" hidden="false" customHeight="false" outlineLevel="0" collapsed="false">
      <c r="A116" s="4" t="s">
        <v>70</v>
      </c>
      <c r="B116" s="4" t="s">
        <v>72</v>
      </c>
      <c r="C116" s="4" t="s">
        <v>27</v>
      </c>
      <c r="D116" s="4" t="s">
        <v>18</v>
      </c>
      <c r="E116" s="5" t="n">
        <v>661.09</v>
      </c>
      <c r="F116" s="4" t="n">
        <v>1</v>
      </c>
      <c r="G116" s="6" t="n">
        <v>0.2</v>
      </c>
      <c r="H116" s="7" t="n">
        <v>45593</v>
      </c>
      <c r="I116" s="5" t="n">
        <v>264.44</v>
      </c>
      <c r="J116" s="8" t="n">
        <f aca="true">NOW()</f>
        <v>46303.6508013138</v>
      </c>
    </row>
    <row r="117" customFormat="false" ht="15" hidden="false" customHeight="false" outlineLevel="0" collapsed="false">
      <c r="A117" s="4" t="s">
        <v>16</v>
      </c>
      <c r="B117" s="4" t="s">
        <v>58</v>
      </c>
      <c r="C117" s="4" t="s">
        <v>14</v>
      </c>
      <c r="D117" s="4" t="s">
        <v>24</v>
      </c>
      <c r="E117" s="5" t="n">
        <v>688.83</v>
      </c>
      <c r="F117" s="4" t="n">
        <v>15</v>
      </c>
      <c r="G117" s="6" t="n">
        <v>0</v>
      </c>
      <c r="H117" s="7" t="n">
        <v>45595</v>
      </c>
      <c r="I117" s="5" t="n">
        <v>172.21</v>
      </c>
      <c r="J117" s="8" t="n">
        <f aca="true">NOW()</f>
        <v>46303.6508013143</v>
      </c>
    </row>
    <row r="118" customFormat="false" ht="15" hidden="false" customHeight="false" outlineLevel="0" collapsed="false">
      <c r="A118" s="4" t="s">
        <v>76</v>
      </c>
      <c r="B118" s="4" t="s">
        <v>32</v>
      </c>
      <c r="C118" s="4" t="s">
        <v>37</v>
      </c>
      <c r="D118" s="4" t="s">
        <v>15</v>
      </c>
      <c r="E118" s="5" t="n">
        <v>1249.1</v>
      </c>
      <c r="F118" s="4" t="n">
        <v>4</v>
      </c>
      <c r="G118" s="6" t="n">
        <v>0.05</v>
      </c>
      <c r="H118" s="7" t="n">
        <v>45597</v>
      </c>
      <c r="I118" s="5" t="n">
        <v>474.66</v>
      </c>
      <c r="J118" s="8" t="n">
        <f aca="true">NOW()</f>
        <v>46303.6508013138</v>
      </c>
    </row>
    <row r="119" customFormat="false" ht="15" hidden="false" customHeight="false" outlineLevel="0" collapsed="false">
      <c r="A119" s="4" t="s">
        <v>47</v>
      </c>
      <c r="B119" s="4" t="s">
        <v>26</v>
      </c>
      <c r="C119" s="4" t="s">
        <v>21</v>
      </c>
      <c r="D119" s="4" t="s">
        <v>42</v>
      </c>
      <c r="E119" s="5" t="n">
        <v>1014.22</v>
      </c>
      <c r="F119" s="4" t="n">
        <v>14</v>
      </c>
      <c r="G119" s="6" t="n">
        <v>0.05</v>
      </c>
      <c r="H119" s="7" t="n">
        <v>45599</v>
      </c>
      <c r="I119" s="5" t="n">
        <v>433.58</v>
      </c>
      <c r="J119" s="8" t="n">
        <f aca="true">NOW()</f>
        <v>46303.6508013143</v>
      </c>
    </row>
    <row r="120" customFormat="false" ht="15" hidden="false" customHeight="false" outlineLevel="0" collapsed="false">
      <c r="A120" s="4" t="s">
        <v>57</v>
      </c>
      <c r="B120" s="4" t="s">
        <v>51</v>
      </c>
      <c r="C120" s="4" t="s">
        <v>21</v>
      </c>
      <c r="D120" s="4" t="s">
        <v>15</v>
      </c>
      <c r="E120" s="5" t="n">
        <v>1010.58</v>
      </c>
      <c r="F120" s="4" t="n">
        <v>2</v>
      </c>
      <c r="G120" s="6" t="n">
        <v>0.15</v>
      </c>
      <c r="H120" s="7" t="n">
        <v>45605</v>
      </c>
      <c r="I120" s="5" t="n">
        <v>343.6</v>
      </c>
      <c r="J120" s="8" t="n">
        <f aca="true">NOW()</f>
        <v>46303.6508013139</v>
      </c>
    </row>
    <row r="121" customFormat="false" ht="15" hidden="false" customHeight="false" outlineLevel="0" collapsed="false">
      <c r="A121" s="4" t="s">
        <v>33</v>
      </c>
      <c r="B121" s="4" t="s">
        <v>62</v>
      </c>
      <c r="C121" s="4" t="s">
        <v>27</v>
      </c>
      <c r="D121" s="4" t="s">
        <v>30</v>
      </c>
      <c r="E121" s="5" t="n">
        <v>957.29</v>
      </c>
      <c r="F121" s="4" t="n">
        <v>4</v>
      </c>
      <c r="G121" s="6" t="n">
        <v>0.05</v>
      </c>
      <c r="H121" s="7" t="n">
        <v>45605</v>
      </c>
      <c r="I121" s="5" t="n">
        <v>318.3</v>
      </c>
      <c r="J121" s="8" t="n">
        <f aca="true">NOW()</f>
        <v>46303.6508013143</v>
      </c>
    </row>
    <row r="122" customFormat="false" ht="15" hidden="false" customHeight="false" outlineLevel="0" collapsed="false">
      <c r="A122" s="4" t="s">
        <v>31</v>
      </c>
      <c r="B122" s="4" t="s">
        <v>48</v>
      </c>
      <c r="C122" s="4" t="s">
        <v>27</v>
      </c>
      <c r="D122" s="4" t="s">
        <v>30</v>
      </c>
      <c r="E122" s="5" t="n">
        <v>1077.92</v>
      </c>
      <c r="F122" s="4" t="n">
        <v>3</v>
      </c>
      <c r="G122" s="6" t="n">
        <v>0.05</v>
      </c>
      <c r="H122" s="7" t="n">
        <v>45608</v>
      </c>
      <c r="I122" s="5" t="n">
        <v>358.41</v>
      </c>
      <c r="J122" s="8" t="n">
        <f aca="true">NOW()</f>
        <v>46303.6508013139</v>
      </c>
    </row>
    <row r="123" customFormat="false" ht="15" hidden="false" customHeight="false" outlineLevel="0" collapsed="false">
      <c r="A123" s="4" t="s">
        <v>55</v>
      </c>
      <c r="B123" s="4" t="s">
        <v>53</v>
      </c>
      <c r="C123" s="4" t="s">
        <v>23</v>
      </c>
      <c r="D123" s="4" t="s">
        <v>18</v>
      </c>
      <c r="E123" s="5" t="n">
        <v>1163.01</v>
      </c>
      <c r="F123" s="4" t="n">
        <v>5</v>
      </c>
      <c r="G123" s="6" t="n">
        <v>0</v>
      </c>
      <c r="H123" s="7" t="n">
        <v>45611</v>
      </c>
      <c r="I123" s="5" t="n">
        <v>581.5</v>
      </c>
      <c r="J123" s="8" t="n">
        <f aca="true">NOW()</f>
        <v>46303.6508013143</v>
      </c>
    </row>
    <row r="124" customFormat="false" ht="15" hidden="false" customHeight="false" outlineLevel="0" collapsed="false">
      <c r="A124" s="4" t="s">
        <v>57</v>
      </c>
      <c r="B124" s="4" t="s">
        <v>48</v>
      </c>
      <c r="C124" s="4" t="s">
        <v>21</v>
      </c>
      <c r="D124" s="4" t="s">
        <v>42</v>
      </c>
      <c r="E124" s="5" t="n">
        <v>1014.56</v>
      </c>
      <c r="F124" s="4" t="n">
        <v>10</v>
      </c>
      <c r="G124" s="6" t="n">
        <v>0.1</v>
      </c>
      <c r="H124" s="7" t="n">
        <v>45612</v>
      </c>
      <c r="I124" s="5" t="n">
        <v>410.9</v>
      </c>
      <c r="J124" s="8" t="n">
        <f aca="true">NOW()</f>
        <v>46303.6508013139</v>
      </c>
    </row>
    <row r="125" customFormat="false" ht="15" hidden="false" customHeight="false" outlineLevel="0" collapsed="false">
      <c r="A125" s="4" t="s">
        <v>12</v>
      </c>
      <c r="B125" s="4" t="s">
        <v>20</v>
      </c>
      <c r="C125" s="4" t="s">
        <v>23</v>
      </c>
      <c r="D125" s="4" t="s">
        <v>24</v>
      </c>
      <c r="E125" s="5" t="n">
        <v>718.04</v>
      </c>
      <c r="F125" s="4" t="n">
        <v>14</v>
      </c>
      <c r="G125" s="6" t="n">
        <v>0</v>
      </c>
      <c r="H125" s="7" t="n">
        <v>45613</v>
      </c>
      <c r="I125" s="5" t="n">
        <v>179.51</v>
      </c>
      <c r="J125" s="8" t="n">
        <f aca="true">NOW()</f>
        <v>46303.6508013143</v>
      </c>
    </row>
    <row r="126" customFormat="false" ht="15" hidden="false" customHeight="false" outlineLevel="0" collapsed="false">
      <c r="A126" s="4" t="s">
        <v>75</v>
      </c>
      <c r="B126" s="4" t="s">
        <v>20</v>
      </c>
      <c r="C126" s="4" t="s">
        <v>37</v>
      </c>
      <c r="D126" s="4" t="s">
        <v>18</v>
      </c>
      <c r="E126" s="5" t="n">
        <v>1277.85</v>
      </c>
      <c r="F126" s="4" t="n">
        <v>18</v>
      </c>
      <c r="G126" s="6" t="n">
        <v>0.2</v>
      </c>
      <c r="H126" s="7" t="n">
        <v>45613</v>
      </c>
      <c r="I126" s="5" t="n">
        <v>511.14</v>
      </c>
      <c r="J126" s="8" t="n">
        <f aca="true">NOW()</f>
        <v>46303.6508013139</v>
      </c>
    </row>
    <row r="127" customFormat="false" ht="15" hidden="false" customHeight="false" outlineLevel="0" collapsed="false">
      <c r="A127" s="4" t="s">
        <v>73</v>
      </c>
      <c r="B127" s="4" t="s">
        <v>26</v>
      </c>
      <c r="C127" s="4" t="s">
        <v>27</v>
      </c>
      <c r="D127" s="4" t="s">
        <v>24</v>
      </c>
      <c r="E127" s="5" t="n">
        <v>706.73</v>
      </c>
      <c r="F127" s="4" t="n">
        <v>1</v>
      </c>
      <c r="G127" s="6" t="n">
        <v>0.15</v>
      </c>
      <c r="H127" s="7" t="n">
        <v>45613</v>
      </c>
      <c r="I127" s="5" t="n">
        <v>150.18</v>
      </c>
      <c r="J127" s="8" t="n">
        <f aca="true">NOW()</f>
        <v>46303.6508013143</v>
      </c>
    </row>
    <row r="128" customFormat="false" ht="15" hidden="false" customHeight="false" outlineLevel="0" collapsed="false">
      <c r="A128" s="4" t="s">
        <v>68</v>
      </c>
      <c r="B128" s="4" t="s">
        <v>53</v>
      </c>
      <c r="C128" s="4" t="s">
        <v>21</v>
      </c>
      <c r="D128" s="4" t="s">
        <v>24</v>
      </c>
      <c r="E128" s="5" t="n">
        <v>1410.59</v>
      </c>
      <c r="F128" s="4" t="n">
        <v>15</v>
      </c>
      <c r="G128" s="6" t="n">
        <v>0</v>
      </c>
      <c r="H128" s="7" t="n">
        <v>45615</v>
      </c>
      <c r="I128" s="5" t="n">
        <v>352.65</v>
      </c>
      <c r="J128" s="8" t="n">
        <f aca="true">NOW()</f>
        <v>46303.6508013139</v>
      </c>
    </row>
    <row r="129" customFormat="false" ht="15" hidden="false" customHeight="false" outlineLevel="0" collapsed="false">
      <c r="A129" s="4" t="s">
        <v>35</v>
      </c>
      <c r="B129" s="4" t="s">
        <v>64</v>
      </c>
      <c r="C129" s="4" t="s">
        <v>23</v>
      </c>
      <c r="D129" s="4" t="s">
        <v>30</v>
      </c>
      <c r="E129" s="5" t="n">
        <v>1350.33</v>
      </c>
      <c r="F129" s="4" t="n">
        <v>10</v>
      </c>
      <c r="G129" s="6" t="n">
        <v>0</v>
      </c>
      <c r="H129" s="7" t="n">
        <v>45615</v>
      </c>
      <c r="I129" s="5" t="n">
        <v>472.62</v>
      </c>
      <c r="J129" s="8" t="n">
        <f aca="true">NOW()</f>
        <v>46303.6508013143</v>
      </c>
    </row>
    <row r="130" customFormat="false" ht="15" hidden="false" customHeight="false" outlineLevel="0" collapsed="false">
      <c r="A130" s="4" t="s">
        <v>44</v>
      </c>
      <c r="B130" s="4" t="s">
        <v>48</v>
      </c>
      <c r="C130" s="4" t="s">
        <v>21</v>
      </c>
      <c r="D130" s="4" t="s">
        <v>24</v>
      </c>
      <c r="E130" s="5" t="n">
        <v>919.18</v>
      </c>
      <c r="F130" s="4" t="n">
        <v>4</v>
      </c>
      <c r="G130" s="6" t="n">
        <v>0.15</v>
      </c>
      <c r="H130" s="7" t="n">
        <v>45615</v>
      </c>
      <c r="I130" s="5" t="n">
        <v>195.33</v>
      </c>
      <c r="J130" s="8" t="n">
        <f aca="true">NOW()</f>
        <v>46303.6508013139</v>
      </c>
    </row>
    <row r="131" customFormat="false" ht="15" hidden="false" customHeight="false" outlineLevel="0" collapsed="false">
      <c r="A131" s="4" t="s">
        <v>77</v>
      </c>
      <c r="B131" s="4" t="s">
        <v>26</v>
      </c>
      <c r="C131" s="4" t="s">
        <v>14</v>
      </c>
      <c r="D131" s="4" t="s">
        <v>24</v>
      </c>
      <c r="E131" s="5" t="n">
        <v>258.51</v>
      </c>
      <c r="F131" s="4" t="n">
        <v>19</v>
      </c>
      <c r="G131" s="6" t="n">
        <v>0</v>
      </c>
      <c r="H131" s="7" t="n">
        <v>45616</v>
      </c>
      <c r="I131" s="5" t="n">
        <v>64.63</v>
      </c>
      <c r="J131" s="8" t="n">
        <f aca="true">NOW()</f>
        <v>46303.6508013143</v>
      </c>
    </row>
    <row r="132" customFormat="false" ht="15" hidden="false" customHeight="false" outlineLevel="0" collapsed="false">
      <c r="A132" s="4" t="s">
        <v>66</v>
      </c>
      <c r="B132" s="4" t="s">
        <v>64</v>
      </c>
      <c r="C132" s="4" t="s">
        <v>21</v>
      </c>
      <c r="D132" s="4" t="s">
        <v>15</v>
      </c>
      <c r="E132" s="5" t="n">
        <v>1213.48</v>
      </c>
      <c r="F132" s="4" t="n">
        <v>5</v>
      </c>
      <c r="G132" s="6" t="n">
        <v>0.05</v>
      </c>
      <c r="H132" s="7" t="n">
        <v>45616</v>
      </c>
      <c r="I132" s="5" t="n">
        <v>461.12</v>
      </c>
      <c r="J132" s="8" t="n">
        <f aca="true">NOW()</f>
        <v>46303.6508013139</v>
      </c>
    </row>
    <row r="133" customFormat="false" ht="15" hidden="false" customHeight="false" outlineLevel="0" collapsed="false">
      <c r="A133" s="4" t="s">
        <v>60</v>
      </c>
      <c r="B133" s="4" t="s">
        <v>41</v>
      </c>
      <c r="C133" s="4" t="s">
        <v>37</v>
      </c>
      <c r="D133" s="4" t="s">
        <v>15</v>
      </c>
      <c r="E133" s="5" t="n">
        <v>1150.28</v>
      </c>
      <c r="F133" s="4" t="n">
        <v>8</v>
      </c>
      <c r="G133" s="6" t="n">
        <v>0.05</v>
      </c>
      <c r="H133" s="7" t="n">
        <v>45622</v>
      </c>
      <c r="I133" s="5" t="n">
        <v>437.11</v>
      </c>
      <c r="J133" s="8" t="n">
        <f aca="true">NOW()</f>
        <v>46303.6508013143</v>
      </c>
    </row>
    <row r="134" customFormat="false" ht="15" hidden="false" customHeight="false" outlineLevel="0" collapsed="false">
      <c r="A134" s="4" t="s">
        <v>40</v>
      </c>
      <c r="B134" s="4" t="s">
        <v>74</v>
      </c>
      <c r="C134" s="4" t="s">
        <v>23</v>
      </c>
      <c r="D134" s="4" t="s">
        <v>30</v>
      </c>
      <c r="E134" s="5" t="n">
        <v>853.86</v>
      </c>
      <c r="F134" s="4" t="n">
        <v>8</v>
      </c>
      <c r="G134" s="6" t="n">
        <v>0.1</v>
      </c>
      <c r="H134" s="7" t="n">
        <v>45622</v>
      </c>
      <c r="I134" s="5" t="n">
        <v>268.97</v>
      </c>
      <c r="J134" s="8" t="n">
        <f aca="true">NOW()</f>
        <v>46303.6508013139</v>
      </c>
    </row>
    <row r="135" customFormat="false" ht="15" hidden="false" customHeight="false" outlineLevel="0" collapsed="false">
      <c r="A135" s="4" t="s">
        <v>78</v>
      </c>
      <c r="B135" s="4" t="s">
        <v>48</v>
      </c>
      <c r="C135" s="4" t="s">
        <v>23</v>
      </c>
      <c r="D135" s="4" t="s">
        <v>24</v>
      </c>
      <c r="E135" s="5" t="n">
        <v>1061.04</v>
      </c>
      <c r="F135" s="4" t="n">
        <v>1</v>
      </c>
      <c r="G135" s="6" t="n">
        <v>0</v>
      </c>
      <c r="H135" s="7" t="n">
        <v>45624</v>
      </c>
      <c r="I135" s="5" t="n">
        <v>265.26</v>
      </c>
      <c r="J135" s="8" t="n">
        <f aca="true">NOW()</f>
        <v>46303.6508013143</v>
      </c>
    </row>
    <row r="136" customFormat="false" ht="15" hidden="false" customHeight="false" outlineLevel="0" collapsed="false">
      <c r="A136" s="4" t="s">
        <v>31</v>
      </c>
      <c r="B136" s="4" t="s">
        <v>46</v>
      </c>
      <c r="C136" s="4" t="s">
        <v>14</v>
      </c>
      <c r="D136" s="4" t="s">
        <v>24</v>
      </c>
      <c r="E136" s="5" t="n">
        <v>894.55</v>
      </c>
      <c r="F136" s="4" t="n">
        <v>19</v>
      </c>
      <c r="G136" s="6" t="n">
        <v>0.2</v>
      </c>
      <c r="H136" s="7" t="n">
        <v>45625</v>
      </c>
      <c r="I136" s="5" t="n">
        <v>178.91</v>
      </c>
      <c r="J136" s="8" t="n">
        <f aca="true">NOW()</f>
        <v>46303.6508013139</v>
      </c>
    </row>
    <row r="137" customFormat="false" ht="15" hidden="false" customHeight="false" outlineLevel="0" collapsed="false">
      <c r="A137" s="4" t="s">
        <v>28</v>
      </c>
      <c r="B137" s="4" t="s">
        <v>41</v>
      </c>
      <c r="C137" s="4" t="s">
        <v>27</v>
      </c>
      <c r="D137" s="4" t="s">
        <v>42</v>
      </c>
      <c r="E137" s="5" t="n">
        <v>833.91</v>
      </c>
      <c r="F137" s="4" t="n">
        <v>3</v>
      </c>
      <c r="G137" s="6" t="n">
        <v>0.05</v>
      </c>
      <c r="H137" s="7" t="n">
        <v>45626</v>
      </c>
      <c r="I137" s="5" t="n">
        <v>356.5</v>
      </c>
      <c r="J137" s="8" t="n">
        <f aca="true">NOW()</f>
        <v>46303.6508013144</v>
      </c>
    </row>
    <row r="138" customFormat="false" ht="15" hidden="false" customHeight="false" outlineLevel="0" collapsed="false">
      <c r="A138" s="4" t="s">
        <v>61</v>
      </c>
      <c r="B138" s="4" t="s">
        <v>74</v>
      </c>
      <c r="C138" s="4" t="s">
        <v>14</v>
      </c>
      <c r="D138" s="4" t="s">
        <v>30</v>
      </c>
      <c r="E138" s="5" t="n">
        <v>820.19</v>
      </c>
      <c r="F138" s="4" t="n">
        <v>4</v>
      </c>
      <c r="G138" s="6" t="n">
        <v>0.2</v>
      </c>
      <c r="H138" s="7" t="n">
        <v>45630</v>
      </c>
      <c r="I138" s="5" t="n">
        <v>229.65</v>
      </c>
      <c r="J138" s="8" t="n">
        <f aca="true">NOW()</f>
        <v>46303.6508013139</v>
      </c>
    </row>
    <row r="139" customFormat="false" ht="15" hidden="false" customHeight="false" outlineLevel="0" collapsed="false">
      <c r="A139" s="4" t="s">
        <v>61</v>
      </c>
      <c r="B139" s="4" t="s">
        <v>41</v>
      </c>
      <c r="C139" s="4" t="s">
        <v>37</v>
      </c>
      <c r="D139" s="4" t="s">
        <v>24</v>
      </c>
      <c r="E139" s="5" t="n">
        <v>511.74</v>
      </c>
      <c r="F139" s="4" t="n">
        <v>8</v>
      </c>
      <c r="G139" s="6" t="n">
        <v>0.05</v>
      </c>
      <c r="H139" s="7" t="n">
        <v>45631</v>
      </c>
      <c r="I139" s="5" t="n">
        <v>121.54</v>
      </c>
      <c r="J139" s="8" t="n">
        <f aca="true">NOW()</f>
        <v>46303.6508013144</v>
      </c>
    </row>
    <row r="140" customFormat="false" ht="15" hidden="false" customHeight="false" outlineLevel="0" collapsed="false">
      <c r="A140" s="4" t="s">
        <v>68</v>
      </c>
      <c r="B140" s="4" t="s">
        <v>64</v>
      </c>
      <c r="C140" s="4" t="s">
        <v>23</v>
      </c>
      <c r="D140" s="4" t="s">
        <v>30</v>
      </c>
      <c r="E140" s="5" t="n">
        <v>806.03</v>
      </c>
      <c r="F140" s="4" t="n">
        <v>19</v>
      </c>
      <c r="G140" s="6" t="n">
        <v>0.05</v>
      </c>
      <c r="H140" s="7" t="n">
        <v>45638</v>
      </c>
      <c r="I140" s="5" t="n">
        <v>268</v>
      </c>
      <c r="J140" s="8" t="n">
        <f aca="true">NOW()</f>
        <v>46303.6508013139</v>
      </c>
    </row>
    <row r="141" customFormat="false" ht="15" hidden="false" customHeight="false" outlineLevel="0" collapsed="false">
      <c r="A141" s="4" t="s">
        <v>31</v>
      </c>
      <c r="B141" s="4" t="s">
        <v>29</v>
      </c>
      <c r="C141" s="4" t="s">
        <v>37</v>
      </c>
      <c r="D141" s="4" t="s">
        <v>30</v>
      </c>
      <c r="E141" s="5" t="n">
        <v>1432.47</v>
      </c>
      <c r="F141" s="4" t="n">
        <v>16</v>
      </c>
      <c r="G141" s="6" t="n">
        <v>0.15</v>
      </c>
      <c r="H141" s="7" t="n">
        <v>45640</v>
      </c>
      <c r="I141" s="5" t="n">
        <v>426.16</v>
      </c>
      <c r="J141" s="8" t="n">
        <f aca="true">NOW()</f>
        <v>46303.6508013144</v>
      </c>
    </row>
    <row r="142" customFormat="false" ht="15" hidden="false" customHeight="false" outlineLevel="0" collapsed="false">
      <c r="A142" s="4" t="s">
        <v>77</v>
      </c>
      <c r="B142" s="4" t="s">
        <v>32</v>
      </c>
      <c r="C142" s="4" t="s">
        <v>37</v>
      </c>
      <c r="D142" s="4" t="s">
        <v>24</v>
      </c>
      <c r="E142" s="5" t="n">
        <v>1488.58</v>
      </c>
      <c r="F142" s="4" t="n">
        <v>10</v>
      </c>
      <c r="G142" s="6" t="n">
        <v>0.15</v>
      </c>
      <c r="H142" s="7" t="n">
        <v>45640</v>
      </c>
      <c r="I142" s="5" t="n">
        <v>316.32</v>
      </c>
      <c r="J142" s="8" t="n">
        <f aca="true">NOW()</f>
        <v>46303.6508013139</v>
      </c>
    </row>
    <row r="143" customFormat="false" ht="15" hidden="false" customHeight="false" outlineLevel="0" collapsed="false">
      <c r="A143" s="4" t="s">
        <v>33</v>
      </c>
      <c r="B143" s="4" t="s">
        <v>69</v>
      </c>
      <c r="C143" s="4" t="s">
        <v>21</v>
      </c>
      <c r="D143" s="4" t="s">
        <v>15</v>
      </c>
      <c r="E143" s="5" t="n">
        <v>1231.26</v>
      </c>
      <c r="F143" s="4" t="n">
        <v>9</v>
      </c>
      <c r="G143" s="6" t="n">
        <v>0</v>
      </c>
      <c r="H143" s="7" t="n">
        <v>45646</v>
      </c>
      <c r="I143" s="5" t="n">
        <v>492.5</v>
      </c>
      <c r="J143" s="8" t="n">
        <f aca="true">NOW()</f>
        <v>46303.6508013144</v>
      </c>
    </row>
    <row r="144" customFormat="false" ht="15" hidden="false" customHeight="false" outlineLevel="0" collapsed="false">
      <c r="A144" s="4" t="s">
        <v>33</v>
      </c>
      <c r="B144" s="4" t="s">
        <v>46</v>
      </c>
      <c r="C144" s="4" t="s">
        <v>14</v>
      </c>
      <c r="D144" s="4" t="s">
        <v>24</v>
      </c>
      <c r="E144" s="5" t="n">
        <v>1161.67</v>
      </c>
      <c r="F144" s="4" t="n">
        <v>19</v>
      </c>
      <c r="G144" s="6" t="n">
        <v>0.2</v>
      </c>
      <c r="H144" s="7" t="n">
        <v>45647</v>
      </c>
      <c r="I144" s="5" t="n">
        <v>232.33</v>
      </c>
      <c r="J144" s="8" t="n">
        <f aca="true">NOW()</f>
        <v>46303.6508013139</v>
      </c>
    </row>
    <row r="145" customFormat="false" ht="15" hidden="false" customHeight="false" outlineLevel="0" collapsed="false">
      <c r="A145" s="4" t="s">
        <v>52</v>
      </c>
      <c r="B145" s="4" t="s">
        <v>48</v>
      </c>
      <c r="C145" s="4" t="s">
        <v>37</v>
      </c>
      <c r="D145" s="4" t="s">
        <v>42</v>
      </c>
      <c r="E145" s="5" t="n">
        <v>388.23</v>
      </c>
      <c r="F145" s="4" t="n">
        <v>16</v>
      </c>
      <c r="G145" s="6" t="n">
        <v>0.05</v>
      </c>
      <c r="H145" s="7" t="n">
        <v>45650</v>
      </c>
      <c r="I145" s="5" t="n">
        <v>165.97</v>
      </c>
      <c r="J145" s="8" t="n">
        <f aca="true">NOW()</f>
        <v>46303.6508013144</v>
      </c>
    </row>
    <row r="146" customFormat="false" ht="15" hidden="false" customHeight="false" outlineLevel="0" collapsed="false">
      <c r="A146" s="4" t="s">
        <v>75</v>
      </c>
      <c r="B146" s="4" t="s">
        <v>34</v>
      </c>
      <c r="C146" s="4" t="s">
        <v>27</v>
      </c>
      <c r="D146" s="4" t="s">
        <v>18</v>
      </c>
      <c r="E146" s="5" t="n">
        <v>1589.42</v>
      </c>
      <c r="F146" s="4" t="n">
        <v>6</v>
      </c>
      <c r="G146" s="6" t="n">
        <v>0.15</v>
      </c>
      <c r="H146" s="7" t="n">
        <v>45651</v>
      </c>
      <c r="I146" s="5" t="n">
        <v>675.5</v>
      </c>
      <c r="J146" s="8" t="n">
        <f aca="true">NOW()</f>
        <v>46303.6508013139</v>
      </c>
    </row>
    <row r="147" customFormat="false" ht="15" hidden="false" customHeight="false" outlineLevel="0" collapsed="false">
      <c r="A147" s="4" t="s">
        <v>31</v>
      </c>
      <c r="B147" s="4" t="s">
        <v>74</v>
      </c>
      <c r="C147" s="4" t="s">
        <v>27</v>
      </c>
      <c r="D147" s="4" t="s">
        <v>18</v>
      </c>
      <c r="E147" s="5" t="n">
        <v>336.66</v>
      </c>
      <c r="F147" s="4" t="n">
        <v>13</v>
      </c>
      <c r="G147" s="6" t="n">
        <v>0.2</v>
      </c>
      <c r="H147" s="7" t="n">
        <v>45651</v>
      </c>
      <c r="I147" s="5" t="n">
        <v>134.66</v>
      </c>
      <c r="J147" s="8" t="n">
        <f aca="true">NOW()</f>
        <v>46303.6508013145</v>
      </c>
    </row>
    <row r="148" customFormat="false" ht="15" hidden="false" customHeight="false" outlineLevel="0" collapsed="false">
      <c r="A148" s="4" t="s">
        <v>52</v>
      </c>
      <c r="B148" s="4" t="s">
        <v>26</v>
      </c>
      <c r="C148" s="4" t="s">
        <v>14</v>
      </c>
      <c r="D148" s="4" t="s">
        <v>15</v>
      </c>
      <c r="E148" s="5" t="n">
        <v>1353.79</v>
      </c>
      <c r="F148" s="4" t="n">
        <v>14</v>
      </c>
      <c r="G148" s="6" t="n">
        <v>0.1</v>
      </c>
      <c r="H148" s="7" t="n">
        <v>45656</v>
      </c>
      <c r="I148" s="5" t="n">
        <v>487.36</v>
      </c>
      <c r="J148" s="8" t="n">
        <f aca="true">NOW()</f>
        <v>46303.6508013139</v>
      </c>
    </row>
    <row r="149" customFormat="false" ht="15" hidden="false" customHeight="false" outlineLevel="0" collapsed="false">
      <c r="A149" s="4" t="s">
        <v>66</v>
      </c>
      <c r="B149" s="4" t="s">
        <v>72</v>
      </c>
      <c r="C149" s="4" t="s">
        <v>37</v>
      </c>
      <c r="D149" s="4" t="s">
        <v>18</v>
      </c>
      <c r="E149" s="5" t="n">
        <v>662.61</v>
      </c>
      <c r="F149" s="4" t="n">
        <v>11</v>
      </c>
      <c r="G149" s="6" t="n">
        <v>0.05</v>
      </c>
      <c r="H149" s="7" t="n">
        <v>45658</v>
      </c>
      <c r="I149" s="5" t="n">
        <v>314.74</v>
      </c>
      <c r="J149" s="8" t="n">
        <f aca="true">NOW()</f>
        <v>46303.6508013145</v>
      </c>
    </row>
    <row r="150" customFormat="false" ht="15" hidden="false" customHeight="false" outlineLevel="0" collapsed="false">
      <c r="A150" s="4" t="s">
        <v>55</v>
      </c>
      <c r="B150" s="4" t="s">
        <v>51</v>
      </c>
      <c r="C150" s="4" t="s">
        <v>27</v>
      </c>
      <c r="D150" s="4" t="s">
        <v>42</v>
      </c>
      <c r="E150" s="5" t="n">
        <v>309.42</v>
      </c>
      <c r="F150" s="4" t="n">
        <v>1</v>
      </c>
      <c r="G150" s="6" t="n">
        <v>0.2</v>
      </c>
      <c r="H150" s="7" t="n">
        <v>45658</v>
      </c>
      <c r="I150" s="5" t="n">
        <v>111.39</v>
      </c>
      <c r="J150" s="8" t="n">
        <f aca="true">NOW()</f>
        <v>46303.6508013139</v>
      </c>
    </row>
    <row r="151" customFormat="false" ht="15" hidden="false" customHeight="false" outlineLevel="0" collapsed="false">
      <c r="A151" s="4" t="s">
        <v>66</v>
      </c>
      <c r="B151" s="4" t="s">
        <v>32</v>
      </c>
      <c r="C151" s="4" t="s">
        <v>27</v>
      </c>
      <c r="D151" s="4" t="s">
        <v>15</v>
      </c>
      <c r="E151" s="5" t="n">
        <v>884.63</v>
      </c>
      <c r="F151" s="4" t="n">
        <v>18</v>
      </c>
      <c r="G151" s="6" t="n">
        <v>0.1</v>
      </c>
      <c r="H151" s="7" t="n">
        <v>45659</v>
      </c>
      <c r="I151" s="5" t="n">
        <v>318.47</v>
      </c>
      <c r="J151" s="8" t="n">
        <f aca="true">NOW()</f>
        <v>46303.6508013145</v>
      </c>
    </row>
    <row r="152" customFormat="false" ht="15" hidden="false" customHeight="false" outlineLevel="0" collapsed="false">
      <c r="A152" s="4" t="s">
        <v>55</v>
      </c>
      <c r="B152" s="4" t="s">
        <v>26</v>
      </c>
      <c r="C152" s="4" t="s">
        <v>37</v>
      </c>
      <c r="D152" s="4" t="s">
        <v>42</v>
      </c>
      <c r="E152" s="5" t="n">
        <v>745.05</v>
      </c>
      <c r="F152" s="4" t="n">
        <v>10</v>
      </c>
      <c r="G152" s="6" t="n">
        <v>0.1</v>
      </c>
      <c r="H152" s="7" t="n">
        <v>45660</v>
      </c>
      <c r="I152" s="5" t="n">
        <v>301.75</v>
      </c>
      <c r="J152" s="8" t="n">
        <f aca="true">NOW()</f>
        <v>46303.6508013139</v>
      </c>
    </row>
    <row r="153" customFormat="false" ht="15" hidden="false" customHeight="false" outlineLevel="0" collapsed="false">
      <c r="A153" s="4" t="s">
        <v>63</v>
      </c>
      <c r="B153" s="4" t="s">
        <v>20</v>
      </c>
      <c r="C153" s="4" t="s">
        <v>23</v>
      </c>
      <c r="D153" s="4" t="s">
        <v>18</v>
      </c>
      <c r="E153" s="5" t="n">
        <v>870.23</v>
      </c>
      <c r="F153" s="4" t="n">
        <v>5</v>
      </c>
      <c r="G153" s="6" t="n">
        <v>0.05</v>
      </c>
      <c r="H153" s="7" t="n">
        <v>45660</v>
      </c>
      <c r="I153" s="5" t="n">
        <v>413.36</v>
      </c>
      <c r="J153" s="8" t="n">
        <f aca="true">NOW()</f>
        <v>46303.6508013146</v>
      </c>
    </row>
    <row r="154" customFormat="false" ht="15" hidden="false" customHeight="false" outlineLevel="0" collapsed="false">
      <c r="A154" s="4" t="s">
        <v>38</v>
      </c>
      <c r="B154" s="4" t="s">
        <v>32</v>
      </c>
      <c r="C154" s="4" t="s">
        <v>14</v>
      </c>
      <c r="D154" s="4" t="s">
        <v>30</v>
      </c>
      <c r="E154" s="5" t="n">
        <v>862.19</v>
      </c>
      <c r="F154" s="4" t="n">
        <v>18</v>
      </c>
      <c r="G154" s="6" t="n">
        <v>0.05</v>
      </c>
      <c r="H154" s="7" t="n">
        <v>45663</v>
      </c>
      <c r="I154" s="5" t="n">
        <v>286.68</v>
      </c>
      <c r="J154" s="8" t="n">
        <f aca="true">NOW()</f>
        <v>46303.6508013139</v>
      </c>
    </row>
    <row r="155" customFormat="false" ht="15" hidden="false" customHeight="false" outlineLevel="0" collapsed="false">
      <c r="A155" s="4" t="s">
        <v>76</v>
      </c>
      <c r="B155" s="4" t="s">
        <v>62</v>
      </c>
      <c r="C155" s="4" t="s">
        <v>27</v>
      </c>
      <c r="D155" s="4" t="s">
        <v>18</v>
      </c>
      <c r="E155" s="5" t="n">
        <v>1171.18</v>
      </c>
      <c r="F155" s="4" t="n">
        <v>19</v>
      </c>
      <c r="G155" s="6" t="n">
        <v>0.05</v>
      </c>
      <c r="H155" s="7" t="n">
        <v>45667</v>
      </c>
      <c r="I155" s="5" t="n">
        <v>556.31</v>
      </c>
      <c r="J155" s="8" t="n">
        <f aca="true">NOW()</f>
        <v>46303.6508013146</v>
      </c>
    </row>
    <row r="156" customFormat="false" ht="15" hidden="false" customHeight="false" outlineLevel="0" collapsed="false">
      <c r="A156" s="4" t="s">
        <v>61</v>
      </c>
      <c r="B156" s="4" t="s">
        <v>17</v>
      </c>
      <c r="C156" s="4" t="s">
        <v>23</v>
      </c>
      <c r="D156" s="4" t="s">
        <v>30</v>
      </c>
      <c r="E156" s="5" t="n">
        <v>1054.56</v>
      </c>
      <c r="F156" s="4" t="n">
        <v>11</v>
      </c>
      <c r="G156" s="6" t="n">
        <v>0.1</v>
      </c>
      <c r="H156" s="7" t="n">
        <v>45669</v>
      </c>
      <c r="I156" s="5" t="n">
        <v>332.19</v>
      </c>
      <c r="J156" s="8" t="n">
        <f aca="true">NOW()</f>
        <v>46303.6508013139</v>
      </c>
    </row>
    <row r="157" customFormat="false" ht="15" hidden="false" customHeight="false" outlineLevel="0" collapsed="false">
      <c r="A157" s="4" t="s">
        <v>61</v>
      </c>
      <c r="B157" s="4" t="s">
        <v>26</v>
      </c>
      <c r="C157" s="4" t="s">
        <v>27</v>
      </c>
      <c r="D157" s="4" t="s">
        <v>24</v>
      </c>
      <c r="E157" s="5" t="n">
        <v>1681.21</v>
      </c>
      <c r="F157" s="4" t="n">
        <v>5</v>
      </c>
      <c r="G157" s="6" t="n">
        <v>0.2</v>
      </c>
      <c r="H157" s="7" t="n">
        <v>45670</v>
      </c>
      <c r="I157" s="5" t="n">
        <v>336.24</v>
      </c>
      <c r="J157" s="8" t="n">
        <f aca="true">NOW()</f>
        <v>46303.6508013146</v>
      </c>
    </row>
    <row r="158" customFormat="false" ht="15" hidden="false" customHeight="false" outlineLevel="0" collapsed="false">
      <c r="A158" s="4" t="s">
        <v>61</v>
      </c>
      <c r="B158" s="4" t="s">
        <v>39</v>
      </c>
      <c r="C158" s="4" t="s">
        <v>14</v>
      </c>
      <c r="D158" s="4" t="s">
        <v>18</v>
      </c>
      <c r="E158" s="5" t="n">
        <v>379.77</v>
      </c>
      <c r="F158" s="4" t="n">
        <v>9</v>
      </c>
      <c r="G158" s="6" t="n">
        <v>0.05</v>
      </c>
      <c r="H158" s="7" t="n">
        <v>45673</v>
      </c>
      <c r="I158" s="5" t="n">
        <v>180.39</v>
      </c>
      <c r="J158" s="8" t="n">
        <f aca="true">NOW()</f>
        <v>46303.6508013139</v>
      </c>
    </row>
    <row r="159" customFormat="false" ht="15" hidden="false" customHeight="false" outlineLevel="0" collapsed="false">
      <c r="A159" s="4" t="s">
        <v>47</v>
      </c>
      <c r="B159" s="4" t="s">
        <v>48</v>
      </c>
      <c r="C159" s="4" t="s">
        <v>37</v>
      </c>
      <c r="D159" s="4" t="s">
        <v>18</v>
      </c>
      <c r="E159" s="5" t="n">
        <v>1076.33</v>
      </c>
      <c r="F159" s="4" t="n">
        <v>2</v>
      </c>
      <c r="G159" s="6" t="n">
        <v>0.1</v>
      </c>
      <c r="H159" s="7" t="n">
        <v>45674</v>
      </c>
      <c r="I159" s="5" t="n">
        <v>484.35</v>
      </c>
      <c r="J159" s="8" t="n">
        <f aca="true">NOW()</f>
        <v>46303.6508013146</v>
      </c>
    </row>
    <row r="160" customFormat="false" ht="15" hidden="false" customHeight="false" outlineLevel="0" collapsed="false">
      <c r="A160" s="4" t="s">
        <v>47</v>
      </c>
      <c r="B160" s="4" t="s">
        <v>34</v>
      </c>
      <c r="C160" s="4" t="s">
        <v>37</v>
      </c>
      <c r="D160" s="4" t="s">
        <v>42</v>
      </c>
      <c r="E160" s="5" t="n">
        <v>1250.71</v>
      </c>
      <c r="F160" s="4" t="n">
        <v>7</v>
      </c>
      <c r="G160" s="6" t="n">
        <v>0</v>
      </c>
      <c r="H160" s="7" t="n">
        <v>45674</v>
      </c>
      <c r="I160" s="5" t="n">
        <v>562.82</v>
      </c>
      <c r="J160" s="8" t="n">
        <f aca="true">NOW()</f>
        <v>46303.6508013139</v>
      </c>
    </row>
    <row r="161" customFormat="false" ht="15" hidden="false" customHeight="false" outlineLevel="0" collapsed="false">
      <c r="A161" s="4" t="s">
        <v>43</v>
      </c>
      <c r="B161" s="4" t="s">
        <v>20</v>
      </c>
      <c r="C161" s="4" t="s">
        <v>23</v>
      </c>
      <c r="D161" s="4" t="s">
        <v>18</v>
      </c>
      <c r="E161" s="5" t="n">
        <v>1118.34</v>
      </c>
      <c r="F161" s="4" t="n">
        <v>6</v>
      </c>
      <c r="G161" s="6" t="n">
        <v>0.2</v>
      </c>
      <c r="H161" s="7" t="n">
        <v>45674</v>
      </c>
      <c r="I161" s="5" t="n">
        <v>447.34</v>
      </c>
      <c r="J161" s="8" t="n">
        <f aca="true">NOW()</f>
        <v>46303.6508013146</v>
      </c>
    </row>
    <row r="162" customFormat="false" ht="15" hidden="false" customHeight="false" outlineLevel="0" collapsed="false">
      <c r="A162" s="4" t="s">
        <v>73</v>
      </c>
      <c r="B162" s="4" t="s">
        <v>56</v>
      </c>
      <c r="C162" s="4" t="s">
        <v>27</v>
      </c>
      <c r="D162" s="4" t="s">
        <v>18</v>
      </c>
      <c r="E162" s="5" t="n">
        <v>1622.62</v>
      </c>
      <c r="F162" s="4" t="n">
        <v>12</v>
      </c>
      <c r="G162" s="6" t="n">
        <v>0.2</v>
      </c>
      <c r="H162" s="7" t="n">
        <v>45677</v>
      </c>
      <c r="I162" s="5" t="n">
        <v>649.05</v>
      </c>
      <c r="J162" s="8" t="n">
        <f aca="true">NOW()</f>
        <v>46303.6508013139</v>
      </c>
    </row>
    <row r="163" customFormat="false" ht="15" hidden="false" customHeight="false" outlineLevel="0" collapsed="false">
      <c r="A163" s="4" t="s">
        <v>78</v>
      </c>
      <c r="B163" s="4" t="s">
        <v>51</v>
      </c>
      <c r="C163" s="4" t="s">
        <v>27</v>
      </c>
      <c r="D163" s="4" t="s">
        <v>15</v>
      </c>
      <c r="E163" s="5" t="n">
        <v>640.64</v>
      </c>
      <c r="F163" s="4" t="n">
        <v>11</v>
      </c>
      <c r="G163" s="6" t="n">
        <v>0.2</v>
      </c>
      <c r="H163" s="7" t="n">
        <v>45678</v>
      </c>
      <c r="I163" s="5" t="n">
        <v>205</v>
      </c>
      <c r="J163" s="8" t="n">
        <f aca="true">NOW()</f>
        <v>46303.6508013146</v>
      </c>
    </row>
    <row r="164" customFormat="false" ht="15" hidden="false" customHeight="false" outlineLevel="0" collapsed="false">
      <c r="A164" s="4" t="s">
        <v>25</v>
      </c>
      <c r="B164" s="4" t="s">
        <v>46</v>
      </c>
      <c r="C164" s="4" t="s">
        <v>14</v>
      </c>
      <c r="D164" s="4" t="s">
        <v>18</v>
      </c>
      <c r="E164" s="5" t="n">
        <v>585.16</v>
      </c>
      <c r="F164" s="4" t="n">
        <v>17</v>
      </c>
      <c r="G164" s="6" t="n">
        <v>0.1</v>
      </c>
      <c r="H164" s="7" t="n">
        <v>45684</v>
      </c>
      <c r="I164" s="5" t="n">
        <v>263.32</v>
      </c>
      <c r="J164" s="8" t="n">
        <f aca="true">NOW()</f>
        <v>46303.6508013139</v>
      </c>
    </row>
    <row r="165" customFormat="false" ht="15" hidden="false" customHeight="false" outlineLevel="0" collapsed="false">
      <c r="A165" s="4" t="s">
        <v>25</v>
      </c>
      <c r="B165" s="4" t="s">
        <v>34</v>
      </c>
      <c r="C165" s="4" t="s">
        <v>21</v>
      </c>
      <c r="D165" s="4" t="s">
        <v>18</v>
      </c>
      <c r="E165" s="5" t="n">
        <v>1109.98</v>
      </c>
      <c r="F165" s="4" t="n">
        <v>5</v>
      </c>
      <c r="G165" s="6" t="n">
        <v>0.2</v>
      </c>
      <c r="H165" s="7" t="n">
        <v>45690</v>
      </c>
      <c r="I165" s="5" t="n">
        <v>443.99</v>
      </c>
      <c r="J165" s="8" t="n">
        <f aca="true">NOW()</f>
        <v>46303.6508013146</v>
      </c>
    </row>
    <row r="166" customFormat="false" ht="15" hidden="false" customHeight="false" outlineLevel="0" collapsed="false">
      <c r="A166" s="4" t="s">
        <v>61</v>
      </c>
      <c r="B166" s="4" t="s">
        <v>48</v>
      </c>
      <c r="C166" s="4" t="s">
        <v>21</v>
      </c>
      <c r="D166" s="4" t="s">
        <v>15</v>
      </c>
      <c r="E166" s="5" t="n">
        <v>1098.08</v>
      </c>
      <c r="F166" s="4" t="n">
        <v>9</v>
      </c>
      <c r="G166" s="6" t="n">
        <v>0.1</v>
      </c>
      <c r="H166" s="7" t="n">
        <v>45692</v>
      </c>
      <c r="I166" s="5" t="n">
        <v>395.31</v>
      </c>
      <c r="J166" s="8" t="n">
        <f aca="true">NOW()</f>
        <v>46303.650801314</v>
      </c>
    </row>
    <row r="167" customFormat="false" ht="15" hidden="false" customHeight="false" outlineLevel="0" collapsed="false">
      <c r="A167" s="4" t="s">
        <v>68</v>
      </c>
      <c r="B167" s="4" t="s">
        <v>51</v>
      </c>
      <c r="C167" s="4" t="s">
        <v>14</v>
      </c>
      <c r="D167" s="4" t="s">
        <v>42</v>
      </c>
      <c r="E167" s="5" t="n">
        <v>827.25</v>
      </c>
      <c r="F167" s="4" t="n">
        <v>7</v>
      </c>
      <c r="G167" s="6" t="n">
        <v>0.1</v>
      </c>
      <c r="H167" s="7" t="n">
        <v>45693</v>
      </c>
      <c r="I167" s="5" t="n">
        <v>335.04</v>
      </c>
      <c r="J167" s="8" t="n">
        <f aca="true">NOW()</f>
        <v>46303.6508013146</v>
      </c>
    </row>
    <row r="168" customFormat="false" ht="15" hidden="false" customHeight="false" outlineLevel="0" collapsed="false">
      <c r="A168" s="4" t="s">
        <v>73</v>
      </c>
      <c r="B168" s="4" t="s">
        <v>32</v>
      </c>
      <c r="C168" s="4" t="s">
        <v>37</v>
      </c>
      <c r="D168" s="4" t="s">
        <v>18</v>
      </c>
      <c r="E168" s="5" t="n">
        <v>741.88</v>
      </c>
      <c r="F168" s="4" t="n">
        <v>16</v>
      </c>
      <c r="G168" s="6" t="n">
        <v>0.1</v>
      </c>
      <c r="H168" s="7" t="n">
        <v>45695</v>
      </c>
      <c r="I168" s="5" t="n">
        <v>333.85</v>
      </c>
      <c r="J168" s="8" t="n">
        <f aca="true">NOW()</f>
        <v>46303.650801314</v>
      </c>
    </row>
    <row r="169" customFormat="false" ht="15" hidden="false" customHeight="false" outlineLevel="0" collapsed="false">
      <c r="A169" s="4" t="s">
        <v>75</v>
      </c>
      <c r="B169" s="4" t="s">
        <v>13</v>
      </c>
      <c r="C169" s="4" t="s">
        <v>21</v>
      </c>
      <c r="D169" s="4" t="s">
        <v>42</v>
      </c>
      <c r="E169" s="5" t="n">
        <v>1311.26</v>
      </c>
      <c r="F169" s="4" t="n">
        <v>6</v>
      </c>
      <c r="G169" s="6" t="n">
        <v>0.1</v>
      </c>
      <c r="H169" s="7" t="n">
        <v>45698</v>
      </c>
      <c r="I169" s="5" t="n">
        <v>531.06</v>
      </c>
      <c r="J169" s="8" t="n">
        <f aca="true">NOW()</f>
        <v>46303.6508013146</v>
      </c>
    </row>
    <row r="170" customFormat="false" ht="15" hidden="false" customHeight="false" outlineLevel="0" collapsed="false">
      <c r="A170" s="4" t="s">
        <v>75</v>
      </c>
      <c r="B170" s="4" t="s">
        <v>34</v>
      </c>
      <c r="C170" s="4" t="s">
        <v>23</v>
      </c>
      <c r="D170" s="4" t="s">
        <v>42</v>
      </c>
      <c r="E170" s="5" t="n">
        <v>573.32</v>
      </c>
      <c r="F170" s="4" t="n">
        <v>19</v>
      </c>
      <c r="G170" s="6" t="n">
        <v>0.1</v>
      </c>
      <c r="H170" s="7" t="n">
        <v>45703</v>
      </c>
      <c r="I170" s="5" t="n">
        <v>232.19</v>
      </c>
      <c r="J170" s="8" t="n">
        <f aca="true">NOW()</f>
        <v>46303.650801314</v>
      </c>
    </row>
    <row r="171" customFormat="false" ht="15" hidden="false" customHeight="false" outlineLevel="0" collapsed="false">
      <c r="A171" s="4" t="s">
        <v>55</v>
      </c>
      <c r="B171" s="4" t="s">
        <v>26</v>
      </c>
      <c r="C171" s="4" t="s">
        <v>14</v>
      </c>
      <c r="D171" s="4" t="s">
        <v>24</v>
      </c>
      <c r="E171" s="5" t="n">
        <v>1115.22</v>
      </c>
      <c r="F171" s="4" t="n">
        <v>14</v>
      </c>
      <c r="G171" s="6" t="n">
        <v>0.2</v>
      </c>
      <c r="H171" s="7" t="n">
        <v>45705</v>
      </c>
      <c r="I171" s="5" t="n">
        <v>223.04</v>
      </c>
      <c r="J171" s="8" t="n">
        <f aca="true">NOW()</f>
        <v>46303.6508013146</v>
      </c>
    </row>
    <row r="172" customFormat="false" ht="15" hidden="false" customHeight="false" outlineLevel="0" collapsed="false">
      <c r="A172" s="4" t="s">
        <v>16</v>
      </c>
      <c r="B172" s="4" t="s">
        <v>48</v>
      </c>
      <c r="C172" s="4" t="s">
        <v>27</v>
      </c>
      <c r="D172" s="4" t="s">
        <v>18</v>
      </c>
      <c r="E172" s="5" t="n">
        <v>845.84</v>
      </c>
      <c r="F172" s="4" t="n">
        <v>4</v>
      </c>
      <c r="G172" s="6" t="n">
        <v>0</v>
      </c>
      <c r="H172" s="7" t="n">
        <v>45707</v>
      </c>
      <c r="I172" s="5" t="n">
        <v>422.92</v>
      </c>
      <c r="J172" s="8" t="n">
        <f aca="true">NOW()</f>
        <v>46303.650801314</v>
      </c>
    </row>
    <row r="173" customFormat="false" ht="15" hidden="false" customHeight="false" outlineLevel="0" collapsed="false">
      <c r="A173" s="4" t="s">
        <v>33</v>
      </c>
      <c r="B173" s="4" t="s">
        <v>58</v>
      </c>
      <c r="C173" s="4" t="s">
        <v>14</v>
      </c>
      <c r="D173" s="4" t="s">
        <v>24</v>
      </c>
      <c r="E173" s="5" t="n">
        <v>1029.8</v>
      </c>
      <c r="F173" s="4" t="n">
        <v>3</v>
      </c>
      <c r="G173" s="6" t="n">
        <v>0</v>
      </c>
      <c r="H173" s="7" t="n">
        <v>45708</v>
      </c>
      <c r="I173" s="5" t="n">
        <v>257.45</v>
      </c>
      <c r="J173" s="8" t="n">
        <f aca="true">NOW()</f>
        <v>46303.6508013146</v>
      </c>
    </row>
    <row r="174" customFormat="false" ht="15" hidden="false" customHeight="false" outlineLevel="0" collapsed="false">
      <c r="A174" s="4" t="s">
        <v>35</v>
      </c>
      <c r="B174" s="4" t="s">
        <v>34</v>
      </c>
      <c r="C174" s="4" t="s">
        <v>27</v>
      </c>
      <c r="D174" s="4" t="s">
        <v>15</v>
      </c>
      <c r="E174" s="5" t="n">
        <v>1189.83</v>
      </c>
      <c r="F174" s="4" t="n">
        <v>2</v>
      </c>
      <c r="G174" s="6" t="n">
        <v>0.2</v>
      </c>
      <c r="H174" s="7" t="n">
        <v>45709</v>
      </c>
      <c r="I174" s="5" t="n">
        <v>380.75</v>
      </c>
      <c r="J174" s="8" t="n">
        <f aca="true">NOW()</f>
        <v>46303.650801314</v>
      </c>
    </row>
    <row r="175" customFormat="false" ht="15" hidden="false" customHeight="false" outlineLevel="0" collapsed="false">
      <c r="A175" s="4" t="s">
        <v>70</v>
      </c>
      <c r="B175" s="4" t="s">
        <v>46</v>
      </c>
      <c r="C175" s="4" t="s">
        <v>23</v>
      </c>
      <c r="D175" s="4" t="s">
        <v>15</v>
      </c>
      <c r="E175" s="5" t="n">
        <v>704.28</v>
      </c>
      <c r="F175" s="4" t="n">
        <v>15</v>
      </c>
      <c r="G175" s="6" t="n">
        <v>0.2</v>
      </c>
      <c r="H175" s="7" t="n">
        <v>45712</v>
      </c>
      <c r="I175" s="5" t="n">
        <v>225.37</v>
      </c>
      <c r="J175" s="8" t="n">
        <f aca="true">NOW()</f>
        <v>46303.6508013146</v>
      </c>
    </row>
    <row r="176" customFormat="false" ht="15" hidden="false" customHeight="false" outlineLevel="0" collapsed="false">
      <c r="A176" s="4" t="s">
        <v>68</v>
      </c>
      <c r="B176" s="4" t="s">
        <v>50</v>
      </c>
      <c r="C176" s="4" t="s">
        <v>37</v>
      </c>
      <c r="D176" s="4" t="s">
        <v>42</v>
      </c>
      <c r="E176" s="5" t="n">
        <v>1618.22</v>
      </c>
      <c r="F176" s="4" t="n">
        <v>12</v>
      </c>
      <c r="G176" s="6" t="n">
        <v>0.2</v>
      </c>
      <c r="H176" s="7" t="n">
        <v>45712</v>
      </c>
      <c r="I176" s="5" t="n">
        <v>582.56</v>
      </c>
      <c r="J176" s="8" t="n">
        <f aca="true">NOW()</f>
        <v>46303.650801314</v>
      </c>
    </row>
    <row r="177" customFormat="false" ht="15" hidden="false" customHeight="false" outlineLevel="0" collapsed="false">
      <c r="A177" s="4" t="s">
        <v>76</v>
      </c>
      <c r="B177" s="4" t="s">
        <v>56</v>
      </c>
      <c r="C177" s="4" t="s">
        <v>37</v>
      </c>
      <c r="D177" s="4" t="s">
        <v>15</v>
      </c>
      <c r="E177" s="5" t="n">
        <v>1014.43</v>
      </c>
      <c r="F177" s="4" t="n">
        <v>2</v>
      </c>
      <c r="G177" s="6" t="n">
        <v>0.15</v>
      </c>
      <c r="H177" s="7" t="n">
        <v>45713</v>
      </c>
      <c r="I177" s="5" t="n">
        <v>344.91</v>
      </c>
      <c r="J177" s="8" t="n">
        <f aca="true">NOW()</f>
        <v>46303.6508013146</v>
      </c>
    </row>
    <row r="178" customFormat="false" ht="15" hidden="false" customHeight="false" outlineLevel="0" collapsed="false">
      <c r="A178" s="4" t="s">
        <v>78</v>
      </c>
      <c r="B178" s="4" t="s">
        <v>34</v>
      </c>
      <c r="C178" s="4" t="s">
        <v>37</v>
      </c>
      <c r="D178" s="4" t="s">
        <v>18</v>
      </c>
      <c r="E178" s="5" t="n">
        <v>826.97</v>
      </c>
      <c r="F178" s="4" t="n">
        <v>18</v>
      </c>
      <c r="G178" s="6" t="n">
        <v>0.2</v>
      </c>
      <c r="H178" s="7" t="n">
        <v>45715</v>
      </c>
      <c r="I178" s="5" t="n">
        <v>330.79</v>
      </c>
      <c r="J178" s="8" t="n">
        <f aca="true">NOW()</f>
        <v>46303.650801314</v>
      </c>
    </row>
    <row r="179" customFormat="false" ht="15" hidden="false" customHeight="false" outlineLevel="0" collapsed="false">
      <c r="A179" s="4" t="s">
        <v>19</v>
      </c>
      <c r="B179" s="4" t="s">
        <v>34</v>
      </c>
      <c r="C179" s="4" t="s">
        <v>37</v>
      </c>
      <c r="D179" s="4" t="s">
        <v>18</v>
      </c>
      <c r="E179" s="5" t="n">
        <v>1022.23</v>
      </c>
      <c r="F179" s="4" t="n">
        <v>8</v>
      </c>
      <c r="G179" s="6" t="n">
        <v>0.1</v>
      </c>
      <c r="H179" s="7" t="n">
        <v>45717</v>
      </c>
      <c r="I179" s="5" t="n">
        <v>460</v>
      </c>
      <c r="J179" s="8" t="n">
        <f aca="true">NOW()</f>
        <v>46303.6508013146</v>
      </c>
    </row>
    <row r="180" customFormat="false" ht="15" hidden="false" customHeight="false" outlineLevel="0" collapsed="false">
      <c r="A180" s="4" t="s">
        <v>75</v>
      </c>
      <c r="B180" s="4" t="s">
        <v>32</v>
      </c>
      <c r="C180" s="4" t="s">
        <v>21</v>
      </c>
      <c r="D180" s="4" t="s">
        <v>15</v>
      </c>
      <c r="E180" s="5" t="n">
        <v>1099.69</v>
      </c>
      <c r="F180" s="4" t="n">
        <v>6</v>
      </c>
      <c r="G180" s="6" t="n">
        <v>0</v>
      </c>
      <c r="H180" s="7" t="n">
        <v>45718</v>
      </c>
      <c r="I180" s="5" t="n">
        <v>439.88</v>
      </c>
      <c r="J180" s="8" t="n">
        <f aca="true">NOW()</f>
        <v>46303.650801314</v>
      </c>
    </row>
    <row r="181" customFormat="false" ht="15" hidden="false" customHeight="false" outlineLevel="0" collapsed="false">
      <c r="A181" s="4" t="s">
        <v>55</v>
      </c>
      <c r="B181" s="4" t="s">
        <v>67</v>
      </c>
      <c r="C181" s="4" t="s">
        <v>27</v>
      </c>
      <c r="D181" s="4" t="s">
        <v>15</v>
      </c>
      <c r="E181" s="5" t="n">
        <v>710.52</v>
      </c>
      <c r="F181" s="4" t="n">
        <v>8</v>
      </c>
      <c r="G181" s="6" t="n">
        <v>0.1</v>
      </c>
      <c r="H181" s="7" t="n">
        <v>45721</v>
      </c>
      <c r="I181" s="5" t="n">
        <v>255.79</v>
      </c>
      <c r="J181" s="8" t="n">
        <f aca="true">NOW()</f>
        <v>46303.6508013146</v>
      </c>
    </row>
    <row r="182" customFormat="false" ht="15" hidden="false" customHeight="false" outlineLevel="0" collapsed="false">
      <c r="A182" s="4" t="s">
        <v>55</v>
      </c>
      <c r="B182" s="4" t="s">
        <v>62</v>
      </c>
      <c r="C182" s="4" t="s">
        <v>27</v>
      </c>
      <c r="D182" s="4" t="s">
        <v>15</v>
      </c>
      <c r="E182" s="5" t="n">
        <v>499.18</v>
      </c>
      <c r="F182" s="4" t="n">
        <v>15</v>
      </c>
      <c r="G182" s="6" t="n">
        <v>0.2</v>
      </c>
      <c r="H182" s="7" t="n">
        <v>45724</v>
      </c>
      <c r="I182" s="5" t="n">
        <v>159.74</v>
      </c>
      <c r="J182" s="8" t="n">
        <f aca="true">NOW()</f>
        <v>46303.650801314</v>
      </c>
    </row>
    <row r="183" customFormat="false" ht="15" hidden="false" customHeight="false" outlineLevel="0" collapsed="false">
      <c r="A183" s="4" t="s">
        <v>40</v>
      </c>
      <c r="B183" s="4" t="s">
        <v>41</v>
      </c>
      <c r="C183" s="4" t="s">
        <v>23</v>
      </c>
      <c r="D183" s="4" t="s">
        <v>15</v>
      </c>
      <c r="E183" s="5" t="n">
        <v>1064.19</v>
      </c>
      <c r="F183" s="4" t="n">
        <v>18</v>
      </c>
      <c r="G183" s="6" t="n">
        <v>0.05</v>
      </c>
      <c r="H183" s="7" t="n">
        <v>45725</v>
      </c>
      <c r="I183" s="5" t="n">
        <v>404.39</v>
      </c>
      <c r="J183" s="8" t="n">
        <f aca="true">NOW()</f>
        <v>46303.6508013146</v>
      </c>
    </row>
    <row r="184" customFormat="false" ht="15" hidden="false" customHeight="false" outlineLevel="0" collapsed="false">
      <c r="A184" s="4" t="s">
        <v>70</v>
      </c>
      <c r="B184" s="4" t="s">
        <v>41</v>
      </c>
      <c r="C184" s="4" t="s">
        <v>21</v>
      </c>
      <c r="D184" s="4" t="s">
        <v>42</v>
      </c>
      <c r="E184" s="5" t="n">
        <v>438.76</v>
      </c>
      <c r="F184" s="4" t="n">
        <v>18</v>
      </c>
      <c r="G184" s="6" t="n">
        <v>0.05</v>
      </c>
      <c r="H184" s="7" t="n">
        <v>45726</v>
      </c>
      <c r="I184" s="5" t="n">
        <v>187.57</v>
      </c>
      <c r="J184" s="8" t="n">
        <f aca="true">NOW()</f>
        <v>46303.650801314</v>
      </c>
    </row>
    <row r="185" customFormat="false" ht="15" hidden="false" customHeight="false" outlineLevel="0" collapsed="false">
      <c r="A185" s="4" t="s">
        <v>44</v>
      </c>
      <c r="B185" s="4" t="s">
        <v>58</v>
      </c>
      <c r="C185" s="4" t="s">
        <v>14</v>
      </c>
      <c r="D185" s="4" t="s">
        <v>18</v>
      </c>
      <c r="E185" s="5" t="n">
        <v>864.98</v>
      </c>
      <c r="F185" s="4" t="n">
        <v>2</v>
      </c>
      <c r="G185" s="6" t="n">
        <v>0.05</v>
      </c>
      <c r="H185" s="7" t="n">
        <v>45727</v>
      </c>
      <c r="I185" s="5" t="n">
        <v>410.87</v>
      </c>
      <c r="J185" s="8" t="n">
        <f aca="true">NOW()</f>
        <v>46303.6508013146</v>
      </c>
    </row>
    <row r="186" customFormat="false" ht="15" hidden="false" customHeight="false" outlineLevel="0" collapsed="false">
      <c r="A186" s="4" t="s">
        <v>60</v>
      </c>
      <c r="B186" s="4" t="s">
        <v>58</v>
      </c>
      <c r="C186" s="4" t="s">
        <v>14</v>
      </c>
      <c r="D186" s="4" t="s">
        <v>30</v>
      </c>
      <c r="E186" s="5" t="n">
        <v>984.93</v>
      </c>
      <c r="F186" s="4" t="n">
        <v>14</v>
      </c>
      <c r="G186" s="6" t="n">
        <v>0.2</v>
      </c>
      <c r="H186" s="7" t="n">
        <v>45733</v>
      </c>
      <c r="I186" s="5" t="n">
        <v>275.78</v>
      </c>
      <c r="J186" s="8" t="n">
        <f aca="true">NOW()</f>
        <v>46303.650801314</v>
      </c>
    </row>
    <row r="187" customFormat="false" ht="15" hidden="false" customHeight="false" outlineLevel="0" collapsed="false">
      <c r="A187" s="4" t="s">
        <v>28</v>
      </c>
      <c r="B187" s="4" t="s">
        <v>58</v>
      </c>
      <c r="C187" s="4" t="s">
        <v>14</v>
      </c>
      <c r="D187" s="4" t="s">
        <v>18</v>
      </c>
      <c r="E187" s="5" t="n">
        <v>1493.49</v>
      </c>
      <c r="F187" s="4" t="n">
        <v>18</v>
      </c>
      <c r="G187" s="6" t="n">
        <v>0</v>
      </c>
      <c r="H187" s="7" t="n">
        <v>45734</v>
      </c>
      <c r="I187" s="5" t="n">
        <v>746.74</v>
      </c>
      <c r="J187" s="8" t="n">
        <f aca="true">NOW()</f>
        <v>46303.6508013146</v>
      </c>
    </row>
    <row r="188" customFormat="false" ht="15" hidden="false" customHeight="false" outlineLevel="0" collapsed="false">
      <c r="A188" s="4" t="s">
        <v>35</v>
      </c>
      <c r="B188" s="4" t="s">
        <v>56</v>
      </c>
      <c r="C188" s="4" t="s">
        <v>23</v>
      </c>
      <c r="D188" s="4" t="s">
        <v>18</v>
      </c>
      <c r="E188" s="5" t="n">
        <v>689.43</v>
      </c>
      <c r="F188" s="4" t="n">
        <v>9</v>
      </c>
      <c r="G188" s="6" t="n">
        <v>0.1</v>
      </c>
      <c r="H188" s="7" t="n">
        <v>45736</v>
      </c>
      <c r="I188" s="5" t="n">
        <v>310.24</v>
      </c>
      <c r="J188" s="8" t="n">
        <f aca="true">NOW()</f>
        <v>46303.650801314</v>
      </c>
    </row>
    <row r="189" customFormat="false" ht="15" hidden="false" customHeight="false" outlineLevel="0" collapsed="false">
      <c r="A189" s="4" t="s">
        <v>43</v>
      </c>
      <c r="B189" s="4" t="s">
        <v>62</v>
      </c>
      <c r="C189" s="4" t="s">
        <v>23</v>
      </c>
      <c r="D189" s="4" t="s">
        <v>18</v>
      </c>
      <c r="E189" s="5" t="n">
        <v>682.24</v>
      </c>
      <c r="F189" s="4" t="n">
        <v>1</v>
      </c>
      <c r="G189" s="6" t="n">
        <v>0</v>
      </c>
      <c r="H189" s="7" t="n">
        <v>45738</v>
      </c>
      <c r="I189" s="5" t="n">
        <v>341.12</v>
      </c>
      <c r="J189" s="8" t="n">
        <f aca="true">NOW()</f>
        <v>46303.6508013146</v>
      </c>
    </row>
    <row r="190" customFormat="false" ht="15" hidden="false" customHeight="false" outlineLevel="0" collapsed="false">
      <c r="A190" s="4" t="s">
        <v>44</v>
      </c>
      <c r="B190" s="4" t="s">
        <v>29</v>
      </c>
      <c r="C190" s="4" t="s">
        <v>27</v>
      </c>
      <c r="D190" s="4" t="s">
        <v>24</v>
      </c>
      <c r="E190" s="5" t="n">
        <v>458.54</v>
      </c>
      <c r="F190" s="4" t="n">
        <v>15</v>
      </c>
      <c r="G190" s="6" t="n">
        <v>0.2</v>
      </c>
      <c r="H190" s="7" t="n">
        <v>45741</v>
      </c>
      <c r="I190" s="5" t="n">
        <v>91.71</v>
      </c>
      <c r="J190" s="8" t="n">
        <f aca="true">NOW()</f>
        <v>46303.650801314</v>
      </c>
    </row>
    <row r="191" customFormat="false" ht="15" hidden="false" customHeight="false" outlineLevel="0" collapsed="false">
      <c r="A191" s="4" t="s">
        <v>35</v>
      </c>
      <c r="B191" s="4" t="s">
        <v>29</v>
      </c>
      <c r="C191" s="4" t="s">
        <v>23</v>
      </c>
      <c r="D191" s="4" t="s">
        <v>30</v>
      </c>
      <c r="E191" s="5" t="n">
        <v>1184.25</v>
      </c>
      <c r="F191" s="4" t="n">
        <v>11</v>
      </c>
      <c r="G191" s="6" t="n">
        <v>0.2</v>
      </c>
      <c r="H191" s="7" t="n">
        <v>45742</v>
      </c>
      <c r="I191" s="5" t="n">
        <v>331.59</v>
      </c>
      <c r="J191" s="8" t="n">
        <f aca="true">NOW()</f>
        <v>46303.6508013146</v>
      </c>
    </row>
    <row r="192" customFormat="false" ht="15" hidden="false" customHeight="false" outlineLevel="0" collapsed="false">
      <c r="A192" s="4" t="s">
        <v>28</v>
      </c>
      <c r="B192" s="4" t="s">
        <v>13</v>
      </c>
      <c r="C192" s="4" t="s">
        <v>23</v>
      </c>
      <c r="D192" s="4" t="s">
        <v>18</v>
      </c>
      <c r="E192" s="5" t="n">
        <v>762.14</v>
      </c>
      <c r="F192" s="4" t="n">
        <v>9</v>
      </c>
      <c r="G192" s="6" t="n">
        <v>0</v>
      </c>
      <c r="H192" s="7" t="n">
        <v>45743</v>
      </c>
      <c r="I192" s="5" t="n">
        <v>381.07</v>
      </c>
      <c r="J192" s="8" t="n">
        <f aca="true">NOW()</f>
        <v>46303.650801314</v>
      </c>
    </row>
    <row r="193" customFormat="false" ht="15" hidden="false" customHeight="false" outlineLevel="0" collapsed="false">
      <c r="A193" s="4" t="s">
        <v>25</v>
      </c>
      <c r="B193" s="4" t="s">
        <v>56</v>
      </c>
      <c r="C193" s="4" t="s">
        <v>27</v>
      </c>
      <c r="D193" s="4" t="s">
        <v>15</v>
      </c>
      <c r="E193" s="5" t="n">
        <v>750.71</v>
      </c>
      <c r="F193" s="4" t="n">
        <v>10</v>
      </c>
      <c r="G193" s="6" t="n">
        <v>0.15</v>
      </c>
      <c r="H193" s="7" t="n">
        <v>45743</v>
      </c>
      <c r="I193" s="5" t="n">
        <v>255.24</v>
      </c>
      <c r="J193" s="8" t="n">
        <f aca="true">NOW()</f>
        <v>46303.6508013146</v>
      </c>
    </row>
    <row r="194" customFormat="false" ht="15" hidden="false" customHeight="false" outlineLevel="0" collapsed="false">
      <c r="A194" s="4" t="s">
        <v>78</v>
      </c>
      <c r="B194" s="4" t="s">
        <v>74</v>
      </c>
      <c r="C194" s="4" t="s">
        <v>37</v>
      </c>
      <c r="D194" s="4" t="s">
        <v>18</v>
      </c>
      <c r="E194" s="5" t="n">
        <v>1456.94</v>
      </c>
      <c r="F194" s="4" t="n">
        <v>14</v>
      </c>
      <c r="G194" s="6" t="n">
        <v>0.05</v>
      </c>
      <c r="H194" s="7" t="n">
        <v>45745</v>
      </c>
      <c r="I194" s="5" t="n">
        <v>692.05</v>
      </c>
      <c r="J194" s="8" t="n">
        <f aca="true">NOW()</f>
        <v>46303.650801314</v>
      </c>
    </row>
    <row r="195" customFormat="false" ht="15" hidden="false" customHeight="false" outlineLevel="0" collapsed="false">
      <c r="A195" s="4" t="s">
        <v>47</v>
      </c>
      <c r="B195" s="4" t="s">
        <v>64</v>
      </c>
      <c r="C195" s="4" t="s">
        <v>21</v>
      </c>
      <c r="D195" s="4" t="s">
        <v>30</v>
      </c>
      <c r="E195" s="5" t="n">
        <v>1093.38</v>
      </c>
      <c r="F195" s="4" t="n">
        <v>17</v>
      </c>
      <c r="G195" s="6" t="n">
        <v>0.1</v>
      </c>
      <c r="H195" s="7" t="n">
        <v>45745</v>
      </c>
      <c r="I195" s="5" t="n">
        <v>344.41</v>
      </c>
      <c r="J195" s="8" t="n">
        <f aca="true">NOW()</f>
        <v>46303.6508013146</v>
      </c>
    </row>
    <row r="196" customFormat="false" ht="15" hidden="false" customHeight="false" outlineLevel="0" collapsed="false">
      <c r="A196" s="4" t="s">
        <v>40</v>
      </c>
      <c r="B196" s="4" t="s">
        <v>46</v>
      </c>
      <c r="C196" s="4" t="s">
        <v>14</v>
      </c>
      <c r="D196" s="4" t="s">
        <v>18</v>
      </c>
      <c r="E196" s="5" t="n">
        <v>934.27</v>
      </c>
      <c r="F196" s="4" t="n">
        <v>8</v>
      </c>
      <c r="G196" s="6" t="n">
        <v>0.15</v>
      </c>
      <c r="H196" s="7" t="n">
        <v>45746</v>
      </c>
      <c r="I196" s="5" t="n">
        <v>397.06</v>
      </c>
      <c r="J196" s="8" t="n">
        <f aca="true">NOW()</f>
        <v>46303.650801314</v>
      </c>
    </row>
    <row r="197" customFormat="false" ht="15" hidden="false" customHeight="false" outlineLevel="0" collapsed="false">
      <c r="A197" s="4" t="s">
        <v>73</v>
      </c>
      <c r="B197" s="4" t="s">
        <v>39</v>
      </c>
      <c r="C197" s="4" t="s">
        <v>37</v>
      </c>
      <c r="D197" s="4" t="s">
        <v>18</v>
      </c>
      <c r="E197" s="5" t="n">
        <v>1465.35</v>
      </c>
      <c r="F197" s="4" t="n">
        <v>8</v>
      </c>
      <c r="G197" s="6" t="n">
        <v>0.2</v>
      </c>
      <c r="H197" s="7" t="n">
        <v>45746</v>
      </c>
      <c r="I197" s="5" t="n">
        <v>586.14</v>
      </c>
      <c r="J197" s="8" t="n">
        <f aca="true">NOW()</f>
        <v>46303.6508013146</v>
      </c>
    </row>
    <row r="198" customFormat="false" ht="15" hidden="false" customHeight="false" outlineLevel="0" collapsed="false">
      <c r="A198" s="4" t="s">
        <v>55</v>
      </c>
      <c r="B198" s="4" t="s">
        <v>17</v>
      </c>
      <c r="C198" s="4" t="s">
        <v>23</v>
      </c>
      <c r="D198" s="4" t="s">
        <v>42</v>
      </c>
      <c r="E198" s="5" t="n">
        <v>740.8</v>
      </c>
      <c r="F198" s="4" t="n">
        <v>3</v>
      </c>
      <c r="G198" s="6" t="n">
        <v>0</v>
      </c>
      <c r="H198" s="7" t="n">
        <v>45749</v>
      </c>
      <c r="I198" s="5" t="n">
        <v>333.36</v>
      </c>
      <c r="J198" s="8" t="n">
        <f aca="true">NOW()</f>
        <v>46303.650801314</v>
      </c>
    </row>
    <row r="199" customFormat="false" ht="15" hidden="false" customHeight="false" outlineLevel="0" collapsed="false">
      <c r="A199" s="4" t="s">
        <v>61</v>
      </c>
      <c r="B199" s="4" t="s">
        <v>46</v>
      </c>
      <c r="C199" s="4" t="s">
        <v>14</v>
      </c>
      <c r="D199" s="4" t="s">
        <v>42</v>
      </c>
      <c r="E199" s="5" t="n">
        <v>545.44</v>
      </c>
      <c r="F199" s="4" t="n">
        <v>17</v>
      </c>
      <c r="G199" s="6" t="n">
        <v>0</v>
      </c>
      <c r="H199" s="7" t="n">
        <v>45752</v>
      </c>
      <c r="I199" s="5" t="n">
        <v>245.45</v>
      </c>
      <c r="J199" s="8" t="n">
        <f aca="true">NOW()</f>
        <v>46303.6508013146</v>
      </c>
    </row>
    <row r="200" customFormat="false" ht="15" hidden="false" customHeight="false" outlineLevel="0" collapsed="false">
      <c r="A200" s="4" t="s">
        <v>38</v>
      </c>
      <c r="B200" s="4" t="s">
        <v>39</v>
      </c>
      <c r="C200" s="4" t="s">
        <v>21</v>
      </c>
      <c r="D200" s="4" t="s">
        <v>15</v>
      </c>
      <c r="E200" s="5" t="n">
        <v>997.61</v>
      </c>
      <c r="F200" s="4" t="n">
        <v>8</v>
      </c>
      <c r="G200" s="6" t="n">
        <v>0.05</v>
      </c>
      <c r="H200" s="7" t="n">
        <v>45752</v>
      </c>
      <c r="I200" s="5" t="n">
        <v>379.09</v>
      </c>
      <c r="J200" s="8" t="n">
        <f aca="true">NOW()</f>
        <v>46303.650801314</v>
      </c>
    </row>
    <row r="201" customFormat="false" ht="15" hidden="false" customHeight="false" outlineLevel="0" collapsed="false">
      <c r="A201" s="4" t="s">
        <v>63</v>
      </c>
      <c r="B201" s="4" t="s">
        <v>39</v>
      </c>
      <c r="C201" s="4" t="s">
        <v>23</v>
      </c>
      <c r="D201" s="4" t="s">
        <v>18</v>
      </c>
      <c r="E201" s="5" t="n">
        <v>928.32</v>
      </c>
      <c r="F201" s="4" t="n">
        <v>2</v>
      </c>
      <c r="G201" s="6" t="n">
        <v>0.05</v>
      </c>
      <c r="H201" s="7" t="n">
        <v>45754</v>
      </c>
      <c r="I201" s="5" t="n">
        <v>440.95</v>
      </c>
      <c r="J201" s="8" t="n">
        <f aca="true">NOW()</f>
        <v>46303.6508013147</v>
      </c>
    </row>
  </sheetData>
  <autoFilter ref="A1:J2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8"/>
    <col collapsed="false" customWidth="true" hidden="false" outlineLevel="0" max="5" min="5" style="0" width="80"/>
  </cols>
  <sheetData>
    <row r="1" customFormat="false" ht="17.35" hidden="false" customHeight="false" outlineLevel="0" collapsed="false">
      <c r="A1" s="1" t="s">
        <v>79</v>
      </c>
    </row>
    <row r="3" customFormat="false" ht="15" hidden="false" customHeight="false" outlineLevel="0" collapsed="false">
      <c r="A3" s="3" t="s">
        <v>2</v>
      </c>
      <c r="B3" s="3" t="s">
        <v>80</v>
      </c>
      <c r="C3" s="3" t="s">
        <v>81</v>
      </c>
      <c r="E3" s="9" t="s">
        <v>82</v>
      </c>
    </row>
    <row r="4" customFormat="false" ht="15" hidden="false" customHeight="false" outlineLevel="0" collapsed="false">
      <c r="A4" s="10" t="s">
        <v>31</v>
      </c>
      <c r="B4" s="11" t="n">
        <f aca="false">SUMIF(Dataset!$A$2:$A$201,A4,Dataset!$E$2:$E$201)</f>
        <v>6549.55</v>
      </c>
      <c r="C4" s="10" t="n">
        <f aca="false">RANK(B4,$B$4:$B$33)</f>
        <v>15</v>
      </c>
    </row>
    <row r="5" customFormat="false" ht="15" hidden="false" customHeight="false" outlineLevel="0" collapsed="false">
      <c r="A5" s="10" t="s">
        <v>68</v>
      </c>
      <c r="B5" s="11" t="n">
        <f aca="false">SUMIF(Dataset!$A$2:$A$201,A5,Dataset!$E$2:$E$201)</f>
        <v>6481.43</v>
      </c>
      <c r="C5" s="10" t="n">
        <f aca="false">RANK(B5,$B$4:$B$33)</f>
        <v>17</v>
      </c>
    </row>
    <row r="6" customFormat="false" ht="15" hidden="false" customHeight="false" outlineLevel="0" collapsed="false">
      <c r="A6" s="10" t="s">
        <v>70</v>
      </c>
      <c r="B6" s="11" t="n">
        <f aca="false">SUMIF(Dataset!$A$2:$A$201,A6,Dataset!$E$2:$E$201)</f>
        <v>8490.18</v>
      </c>
      <c r="C6" s="10" t="n">
        <f aca="false">RANK(B6,$B$4:$B$33)</f>
        <v>7</v>
      </c>
    </row>
    <row r="7" customFormat="false" ht="15" hidden="false" customHeight="false" outlineLevel="0" collapsed="false">
      <c r="A7" s="10" t="s">
        <v>75</v>
      </c>
      <c r="B7" s="11" t="n">
        <f aca="false">SUMIF(Dataset!$A$2:$A$201,A7,Dataset!$E$2:$E$201)</f>
        <v>7813.59</v>
      </c>
      <c r="C7" s="10" t="n">
        <f aca="false">RANK(B7,$B$4:$B$33)</f>
        <v>10</v>
      </c>
    </row>
    <row r="8" customFormat="false" ht="15" hidden="false" customHeight="false" outlineLevel="0" collapsed="false">
      <c r="A8" s="10" t="s">
        <v>22</v>
      </c>
      <c r="B8" s="11" t="n">
        <f aca="false">SUMIF(Dataset!$A$2:$A$201,A8,Dataset!$E$2:$E$201)</f>
        <v>6666.13</v>
      </c>
      <c r="C8" s="10" t="n">
        <f aca="false">RANK(B8,$B$4:$B$33)</f>
        <v>14</v>
      </c>
    </row>
    <row r="9" customFormat="false" ht="15" hidden="false" customHeight="false" outlineLevel="0" collapsed="false">
      <c r="A9" s="10" t="s">
        <v>49</v>
      </c>
      <c r="B9" s="11" t="n">
        <f aca="false">SUMIF(Dataset!$A$2:$A$201,A9,Dataset!$E$2:$E$201)</f>
        <v>2699.75</v>
      </c>
      <c r="C9" s="10" t="n">
        <f aca="false">RANK(B9,$B$4:$B$33)</f>
        <v>30</v>
      </c>
    </row>
    <row r="10" customFormat="false" ht="15" hidden="false" customHeight="false" outlineLevel="0" collapsed="false">
      <c r="A10" s="10" t="s">
        <v>28</v>
      </c>
      <c r="B10" s="11" t="n">
        <f aca="false">SUMIF(Dataset!$A$2:$A$201,A10,Dataset!$E$2:$E$201)</f>
        <v>9941.88</v>
      </c>
      <c r="C10" s="10" t="n">
        <f aca="false">RANK(B10,$B$4:$B$33)</f>
        <v>3</v>
      </c>
    </row>
    <row r="11" customFormat="false" ht="15" hidden="false" customHeight="false" outlineLevel="0" collapsed="false">
      <c r="A11" s="10" t="s">
        <v>47</v>
      </c>
      <c r="B11" s="11" t="n">
        <f aca="false">SUMIF(Dataset!$A$2:$A$201,A11,Dataset!$E$2:$E$201)</f>
        <v>9760.8</v>
      </c>
      <c r="C11" s="10" t="n">
        <f aca="false">RANK(B11,$B$4:$B$33)</f>
        <v>4</v>
      </c>
    </row>
    <row r="12" customFormat="false" ht="15" hidden="false" customHeight="false" outlineLevel="0" collapsed="false">
      <c r="A12" s="10" t="s">
        <v>35</v>
      </c>
      <c r="B12" s="11" t="n">
        <f aca="false">SUMIF(Dataset!$A$2:$A$201,A12,Dataset!$E$2:$E$201)</f>
        <v>6505.2</v>
      </c>
      <c r="C12" s="10" t="n">
        <f aca="false">RANK(B12,$B$4:$B$33)</f>
        <v>16</v>
      </c>
    </row>
    <row r="13" customFormat="false" ht="15" hidden="false" customHeight="false" outlineLevel="0" collapsed="false">
      <c r="A13" s="10" t="s">
        <v>38</v>
      </c>
      <c r="B13" s="11" t="n">
        <f aca="false">SUMIF(Dataset!$A$2:$A$201,A13,Dataset!$E$2:$E$201)</f>
        <v>4259.22</v>
      </c>
      <c r="C13" s="10" t="n">
        <f aca="false">RANK(B13,$B$4:$B$33)</f>
        <v>24</v>
      </c>
    </row>
    <row r="14" customFormat="false" ht="15" hidden="false" customHeight="false" outlineLevel="0" collapsed="false">
      <c r="A14" s="10" t="s">
        <v>66</v>
      </c>
      <c r="B14" s="11" t="n">
        <f aca="false">SUMIF(Dataset!$A$2:$A$201,A14,Dataset!$E$2:$E$201)</f>
        <v>3762.29</v>
      </c>
      <c r="C14" s="10" t="n">
        <f aca="false">RANK(B14,$B$4:$B$33)</f>
        <v>27</v>
      </c>
    </row>
    <row r="15" customFormat="false" ht="15" hidden="false" customHeight="false" outlineLevel="0" collapsed="false">
      <c r="A15" s="10" t="s">
        <v>16</v>
      </c>
      <c r="B15" s="11" t="n">
        <f aca="false">SUMIF(Dataset!$A$2:$A$201,A15,Dataset!$E$2:$E$201)</f>
        <v>8339</v>
      </c>
      <c r="C15" s="10" t="n">
        <f aca="false">RANK(B15,$B$4:$B$33)</f>
        <v>8</v>
      </c>
    </row>
    <row r="16" customFormat="false" ht="15" hidden="false" customHeight="false" outlineLevel="0" collapsed="false">
      <c r="A16" s="10" t="s">
        <v>76</v>
      </c>
      <c r="B16" s="11" t="n">
        <f aca="false">SUMIF(Dataset!$A$2:$A$201,A16,Dataset!$E$2:$E$201)</f>
        <v>4162.44</v>
      </c>
      <c r="C16" s="10" t="n">
        <f aca="false">RANK(B16,$B$4:$B$33)</f>
        <v>25</v>
      </c>
    </row>
    <row r="17" customFormat="false" ht="15" hidden="false" customHeight="false" outlineLevel="0" collapsed="false">
      <c r="A17" s="10" t="s">
        <v>40</v>
      </c>
      <c r="B17" s="11" t="n">
        <f aca="false">SUMIF(Dataset!$A$2:$A$201,A17,Dataset!$E$2:$E$201)</f>
        <v>6729.89</v>
      </c>
      <c r="C17" s="10" t="n">
        <f aca="false">RANK(B17,$B$4:$B$33)</f>
        <v>12</v>
      </c>
    </row>
    <row r="18" customFormat="false" ht="15" hidden="false" customHeight="false" outlineLevel="0" collapsed="false">
      <c r="A18" s="10" t="s">
        <v>61</v>
      </c>
      <c r="B18" s="11" t="n">
        <f aca="false">SUMIF(Dataset!$A$2:$A$201,A18,Dataset!$E$2:$E$201)</f>
        <v>11611.06</v>
      </c>
      <c r="C18" s="10" t="n">
        <f aca="false">RANK(B18,$B$4:$B$33)</f>
        <v>1</v>
      </c>
    </row>
    <row r="19" customFormat="false" ht="15" hidden="false" customHeight="false" outlineLevel="0" collapsed="false">
      <c r="A19" s="10" t="s">
        <v>63</v>
      </c>
      <c r="B19" s="11" t="n">
        <f aca="false">SUMIF(Dataset!$A$2:$A$201,A19,Dataset!$E$2:$E$201)</f>
        <v>3369.17</v>
      </c>
      <c r="C19" s="10" t="n">
        <f aca="false">RANK(B19,$B$4:$B$33)</f>
        <v>29</v>
      </c>
    </row>
    <row r="20" customFormat="false" ht="15" hidden="false" customHeight="false" outlineLevel="0" collapsed="false">
      <c r="A20" s="10" t="s">
        <v>19</v>
      </c>
      <c r="B20" s="11" t="n">
        <f aca="false">SUMIF(Dataset!$A$2:$A$201,A20,Dataset!$E$2:$E$201)</f>
        <v>3419.2</v>
      </c>
      <c r="C20" s="10" t="n">
        <f aca="false">RANK(B20,$B$4:$B$33)</f>
        <v>28</v>
      </c>
    </row>
    <row r="21" customFormat="false" ht="15" hidden="false" customHeight="false" outlineLevel="0" collapsed="false">
      <c r="A21" s="10" t="s">
        <v>78</v>
      </c>
      <c r="B21" s="11" t="n">
        <f aca="false">SUMIF(Dataset!$A$2:$A$201,A21,Dataset!$E$2:$E$201)</f>
        <v>4951.89</v>
      </c>
      <c r="C21" s="10" t="n">
        <f aca="false">RANK(B21,$B$4:$B$33)</f>
        <v>20</v>
      </c>
    </row>
    <row r="22" customFormat="false" ht="15" hidden="false" customHeight="false" outlineLevel="0" collapsed="false">
      <c r="A22" s="10" t="s">
        <v>12</v>
      </c>
      <c r="B22" s="11" t="n">
        <f aca="false">SUMIF(Dataset!$A$2:$A$201,A22,Dataset!$E$2:$E$201)</f>
        <v>4640.11</v>
      </c>
      <c r="C22" s="10" t="n">
        <f aca="false">RANK(B22,$B$4:$B$33)</f>
        <v>21</v>
      </c>
    </row>
    <row r="23" customFormat="false" ht="15" hidden="false" customHeight="false" outlineLevel="0" collapsed="false">
      <c r="A23" s="10" t="s">
        <v>71</v>
      </c>
      <c r="B23" s="11" t="n">
        <f aca="false">SUMIF(Dataset!$A$2:$A$201,A23,Dataset!$E$2:$E$201)</f>
        <v>4413.71</v>
      </c>
      <c r="C23" s="10" t="n">
        <f aca="false">RANK(B23,$B$4:$B$33)</f>
        <v>23</v>
      </c>
    </row>
    <row r="24" customFormat="false" ht="15" hidden="false" customHeight="false" outlineLevel="0" collapsed="false">
      <c r="A24" s="10" t="s">
        <v>60</v>
      </c>
      <c r="B24" s="11" t="n">
        <f aca="false">SUMIF(Dataset!$A$2:$A$201,A24,Dataset!$E$2:$E$201)</f>
        <v>8740.18</v>
      </c>
      <c r="C24" s="10" t="n">
        <f aca="false">RANK(B24,$B$4:$B$33)</f>
        <v>6</v>
      </c>
    </row>
    <row r="25" customFormat="false" ht="15" hidden="false" customHeight="false" outlineLevel="0" collapsed="false">
      <c r="A25" s="10" t="s">
        <v>52</v>
      </c>
      <c r="B25" s="11" t="n">
        <f aca="false">SUMIF(Dataset!$A$2:$A$201,A25,Dataset!$E$2:$E$201)</f>
        <v>4418.28</v>
      </c>
      <c r="C25" s="10" t="n">
        <f aca="false">RANK(B25,$B$4:$B$33)</f>
        <v>22</v>
      </c>
    </row>
    <row r="26" customFormat="false" ht="15" hidden="false" customHeight="false" outlineLevel="0" collapsed="false">
      <c r="A26" s="10" t="s">
        <v>43</v>
      </c>
      <c r="B26" s="11" t="n">
        <f aca="false">SUMIF(Dataset!$A$2:$A$201,A26,Dataset!$E$2:$E$201)</f>
        <v>5913.68</v>
      </c>
      <c r="C26" s="10" t="n">
        <f aca="false">RANK(B26,$B$4:$B$33)</f>
        <v>18</v>
      </c>
    </row>
    <row r="27" customFormat="false" ht="15" hidden="false" customHeight="false" outlineLevel="0" collapsed="false">
      <c r="A27" s="10" t="s">
        <v>73</v>
      </c>
      <c r="B27" s="11" t="n">
        <f aca="false">SUMIF(Dataset!$A$2:$A$201,A27,Dataset!$E$2:$E$201)</f>
        <v>7583.13</v>
      </c>
      <c r="C27" s="10" t="n">
        <f aca="false">RANK(B27,$B$4:$B$33)</f>
        <v>11</v>
      </c>
    </row>
    <row r="28" customFormat="false" ht="15" hidden="false" customHeight="false" outlineLevel="0" collapsed="false">
      <c r="A28" s="10" t="s">
        <v>57</v>
      </c>
      <c r="B28" s="11" t="n">
        <f aca="false">SUMIF(Dataset!$A$2:$A$201,A28,Dataset!$E$2:$E$201)</f>
        <v>6716.52</v>
      </c>
      <c r="C28" s="10" t="n">
        <f aca="false">RANK(B28,$B$4:$B$33)</f>
        <v>13</v>
      </c>
    </row>
    <row r="29" customFormat="false" ht="15" hidden="false" customHeight="false" outlineLevel="0" collapsed="false">
      <c r="A29" s="10" t="s">
        <v>33</v>
      </c>
      <c r="B29" s="11" t="n">
        <f aca="false">SUMIF(Dataset!$A$2:$A$201,A29,Dataset!$E$2:$E$201)</f>
        <v>9371.81</v>
      </c>
      <c r="C29" s="10" t="n">
        <f aca="false">RANK(B29,$B$4:$B$33)</f>
        <v>5</v>
      </c>
    </row>
    <row r="30" customFormat="false" ht="15" hidden="false" customHeight="false" outlineLevel="0" collapsed="false">
      <c r="A30" s="10" t="s">
        <v>77</v>
      </c>
      <c r="B30" s="11" t="n">
        <f aca="false">SUMIF(Dataset!$A$2:$A$201,A30,Dataset!$E$2:$E$201)</f>
        <v>3906.04</v>
      </c>
      <c r="C30" s="10" t="n">
        <f aca="false">RANK(B30,$B$4:$B$33)</f>
        <v>26</v>
      </c>
    </row>
    <row r="31" customFormat="false" ht="15" hidden="false" customHeight="false" outlineLevel="0" collapsed="false">
      <c r="A31" s="10" t="s">
        <v>55</v>
      </c>
      <c r="B31" s="11" t="n">
        <f aca="false">SUMIF(Dataset!$A$2:$A$201,A31,Dataset!$E$2:$E$201)</f>
        <v>10293.87</v>
      </c>
      <c r="C31" s="10" t="n">
        <f aca="false">RANK(B31,$B$4:$B$33)</f>
        <v>2</v>
      </c>
    </row>
    <row r="32" customFormat="false" ht="15" hidden="false" customHeight="false" outlineLevel="0" collapsed="false">
      <c r="A32" s="10" t="s">
        <v>44</v>
      </c>
      <c r="B32" s="11" t="n">
        <f aca="false">SUMIF(Dataset!$A$2:$A$201,A32,Dataset!$E$2:$E$201)</f>
        <v>5779.05</v>
      </c>
      <c r="C32" s="10" t="n">
        <f aca="false">RANK(B32,$B$4:$B$33)</f>
        <v>19</v>
      </c>
    </row>
    <row r="33" customFormat="false" ht="15" hidden="false" customHeight="false" outlineLevel="0" collapsed="false">
      <c r="A33" s="10" t="s">
        <v>25</v>
      </c>
      <c r="B33" s="11" t="n">
        <f aca="false">SUMIF(Dataset!$A$2:$A$201,A33,Dataset!$E$2:$E$201)</f>
        <v>7928.71</v>
      </c>
      <c r="C33" s="10" t="n">
        <f aca="false">RANK(B33,$B$4:$B$33)</f>
        <v>9</v>
      </c>
    </row>
  </sheetData>
  <conditionalFormatting sqref="A4:C33">
    <cfRule type="expression" priority="2" aboveAverage="0" equalAverage="0" bottom="0" percent="0" rank="0" text="" dxfId="3">
      <formula>$C4&lt;=10</formula>
    </cfRule>
  </conditionalFormatting>
  <conditionalFormatting sqref="B4:B33">
    <cfRule type="top10" priority="3" aboveAverage="0" equalAverage="0" bottom="0" percent="0" rank="10" text="" dxfId="3"/>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19"/>
  </cols>
  <sheetData>
    <row r="1" customFormat="false" ht="17.35" hidden="false" customHeight="false" outlineLevel="0" collapsed="false">
      <c r="A1" s="1" t="s">
        <v>83</v>
      </c>
    </row>
    <row r="3" customFormat="false" ht="15" hidden="false" customHeight="false" outlineLevel="0" collapsed="false">
      <c r="A3" s="12" t="s">
        <v>84</v>
      </c>
      <c r="B3" s="11" t="n">
        <f aca="false">SUM(Dataset!$E$2:$E$201)</f>
        <v>195217.76</v>
      </c>
    </row>
    <row r="4" customFormat="false" ht="15" hidden="false" customHeight="false" outlineLevel="0" collapsed="false">
      <c r="A4" s="12" t="s">
        <v>85</v>
      </c>
      <c r="B4" s="11" t="n">
        <f aca="false">SUM(Dataset!$I$2:$I$201)</f>
        <v>68287.01</v>
      </c>
    </row>
    <row r="5" customFormat="false" ht="15" hidden="false" customHeight="false" outlineLevel="0" collapsed="false">
      <c r="A5" s="12" t="s">
        <v>86</v>
      </c>
      <c r="B5" s="13" t="n">
        <f aca="false">AVERAGE(Dataset!$G$2:$G$201)</f>
        <v>0.09725</v>
      </c>
    </row>
    <row r="6" customFormat="false" ht="15" hidden="false" customHeight="false" outlineLevel="0" collapsed="false">
      <c r="A6" s="12" t="s">
        <v>87</v>
      </c>
      <c r="B6" s="11" t="n">
        <f aca="false">SUMPRODUCT(Dataset!$E$2:$E$201/(1-Dataset!$G$2:$G$201))</f>
        <v>218027.193979188</v>
      </c>
    </row>
    <row r="8" customFormat="false" ht="15" hidden="false" customHeight="false" outlineLevel="0" collapsed="false">
      <c r="A8" s="12" t="s">
        <v>88</v>
      </c>
      <c r="B8" s="14" t="n">
        <v>0.1</v>
      </c>
    </row>
    <row r="9" customFormat="false" ht="15" hidden="false" customHeight="false" outlineLevel="0" collapsed="false">
      <c r="A9" s="12" t="s">
        <v>89</v>
      </c>
      <c r="B9" s="11" t="n">
        <f aca="false">B6*(1-B8)</f>
        <v>196224.474581269</v>
      </c>
    </row>
    <row r="10" customFormat="false" ht="15" hidden="false" customHeight="false" outlineLevel="0" collapsed="false">
      <c r="A10" s="12" t="s">
        <v>90</v>
      </c>
      <c r="B10" s="11" t="n">
        <f aca="false">B4+(B9-B3)</f>
        <v>69293.7245812693</v>
      </c>
    </row>
    <row r="11" customFormat="false" ht="15" hidden="false" customHeight="false" outlineLevel="0" collapsed="false">
      <c r="A11" s="12" t="s">
        <v>91</v>
      </c>
      <c r="B11" s="15" t="n">
        <f aca="false">B10-B4</f>
        <v>1006.71458126933</v>
      </c>
    </row>
    <row r="12" customFormat="false" ht="15" hidden="false" customHeight="false" outlineLevel="0" collapsed="false">
      <c r="A12" s="12" t="s">
        <v>92</v>
      </c>
      <c r="B12" s="16" t="n">
        <f aca="false">B11/B4</f>
        <v>0.014742402416936</v>
      </c>
    </row>
    <row r="14" customFormat="false" ht="15" hidden="false" customHeight="false" outlineLevel="0" collapsed="false">
      <c r="A14" s="12" t="s">
        <v>93</v>
      </c>
    </row>
    <row r="15" customFormat="false" ht="15" hidden="false" customHeight="false" outlineLevel="0" collapsed="false">
      <c r="A15" s="3" t="s">
        <v>94</v>
      </c>
      <c r="B15" s="3" t="s">
        <v>95</v>
      </c>
      <c r="C15" s="3" t="s">
        <v>96</v>
      </c>
      <c r="D15" s="3" t="s">
        <v>91</v>
      </c>
      <c r="E15" s="3" t="s">
        <v>92</v>
      </c>
      <c r="F15" s="3" t="s">
        <v>97</v>
      </c>
    </row>
    <row r="16" customFormat="false" ht="15" hidden="false" customHeight="false" outlineLevel="0" collapsed="false">
      <c r="A16" s="17" t="n">
        <v>0</v>
      </c>
      <c r="B16" s="11" t="n">
        <f aca="false">$B$6*(1-A16)</f>
        <v>218027.193979188</v>
      </c>
      <c r="C16" s="11" t="n">
        <f aca="false">$B$4+(B16-$B$3)</f>
        <v>91096.4439791882</v>
      </c>
      <c r="D16" s="15" t="n">
        <f aca="false">C16-$B$4</f>
        <v>22809.4339791882</v>
      </c>
      <c r="E16" s="16" t="n">
        <f aca="false">D16/$B$4</f>
        <v>0.334023029844009</v>
      </c>
      <c r="F16" s="13" t="n">
        <f aca="false">C16/B16</f>
        <v>0.417821475920494</v>
      </c>
    </row>
    <row r="17" customFormat="false" ht="15" hidden="false" customHeight="false" outlineLevel="0" collapsed="false">
      <c r="A17" s="17" t="n">
        <v>0.05</v>
      </c>
      <c r="B17" s="11" t="n">
        <f aca="false">$B$6*(1-A17)</f>
        <v>207125.834280229</v>
      </c>
      <c r="C17" s="11" t="n">
        <f aca="false">$B$4+(B17-$B$3)</f>
        <v>80195.0842802287</v>
      </c>
      <c r="D17" s="15" t="n">
        <f aca="false">C17-$B$4</f>
        <v>11908.0742802287</v>
      </c>
      <c r="E17" s="16" t="n">
        <f aca="false">D17/$B$4</f>
        <v>0.174382716130472</v>
      </c>
      <c r="F17" s="13" t="n">
        <f aca="false">C17/B17</f>
        <v>0.387180500968941</v>
      </c>
    </row>
    <row r="18" customFormat="false" ht="15" hidden="false" customHeight="false" outlineLevel="0" collapsed="false">
      <c r="A18" s="17" t="n">
        <v>0.1</v>
      </c>
      <c r="B18" s="11" t="n">
        <f aca="false">$B$6*(1-A18)</f>
        <v>196224.474581269</v>
      </c>
      <c r="C18" s="11" t="n">
        <f aca="false">$B$4+(B18-$B$3)</f>
        <v>69293.7245812693</v>
      </c>
      <c r="D18" s="15" t="n">
        <f aca="false">C18-$B$4</f>
        <v>1006.71458126933</v>
      </c>
      <c r="E18" s="16" t="n">
        <f aca="false">D18/$B$4</f>
        <v>0.014742402416936</v>
      </c>
      <c r="F18" s="13" t="n">
        <f aca="false">C18/B18</f>
        <v>0.353134973244993</v>
      </c>
    </row>
    <row r="19" customFormat="false" ht="15" hidden="false" customHeight="false" outlineLevel="0" collapsed="false">
      <c r="A19" s="17" t="n">
        <v>0.15</v>
      </c>
      <c r="B19" s="11" t="n">
        <f aca="false">$B$6*(1-A19)</f>
        <v>185323.11488231</v>
      </c>
      <c r="C19" s="11" t="n">
        <f aca="false">$B$4+(B19-$B$3)</f>
        <v>58392.3648823099</v>
      </c>
      <c r="D19" s="15" t="n">
        <f aca="false">C19-$B$4</f>
        <v>-9894.64511769009</v>
      </c>
      <c r="E19" s="16" t="n">
        <f aca="false">D19/$B$4</f>
        <v>-0.144897911296601</v>
      </c>
      <c r="F19" s="13" t="n">
        <f aca="false">C19/B19</f>
        <v>0.315084089318228</v>
      </c>
    </row>
    <row r="20" customFormat="false" ht="15" hidden="false" customHeight="false" outlineLevel="0" collapsed="false">
      <c r="A20" s="17" t="n">
        <v>0.2</v>
      </c>
      <c r="B20" s="11" t="n">
        <f aca="false">$B$6*(1-A20)</f>
        <v>174421.755183351</v>
      </c>
      <c r="C20" s="11" t="n">
        <f aca="false">$B$4+(B20-$B$3)</f>
        <v>47491.0051833505</v>
      </c>
      <c r="D20" s="15" t="n">
        <f aca="false">C20-$B$4</f>
        <v>-20796.0048166495</v>
      </c>
      <c r="E20" s="16" t="n">
        <f aca="false">D20/$B$4</f>
        <v>-0.304538225010137</v>
      </c>
      <c r="F20" s="13" t="n">
        <f aca="false">C20/B20</f>
        <v>0.272276844900617</v>
      </c>
    </row>
    <row r="21" customFormat="false" ht="15" hidden="false" customHeight="false" outlineLevel="0" collapsed="false">
      <c r="A21" s="17" t="n">
        <v>0.25</v>
      </c>
      <c r="B21" s="11" t="n">
        <f aca="false">$B$6*(1-A21)</f>
        <v>163520.395484391</v>
      </c>
      <c r="C21" s="11" t="n">
        <f aca="false">$B$4+(B21-$B$3)</f>
        <v>36589.6454843911</v>
      </c>
      <c r="D21" s="15" t="n">
        <f aca="false">C21-$B$4</f>
        <v>-31697.3645156089</v>
      </c>
      <c r="E21" s="16" t="n">
        <f aca="false">D21/$B$4</f>
        <v>-0.464178538723674</v>
      </c>
      <c r="F21" s="13" t="n">
        <f aca="false">C21/B21</f>
        <v>0.223761967893992</v>
      </c>
    </row>
    <row r="23" customFormat="false" ht="15" hidden="false" customHeight="true" outlineLevel="0" collapsed="false">
      <c r="A23" s="18" t="s">
        <v>98</v>
      </c>
      <c r="B23" s="18"/>
      <c r="C23" s="18"/>
      <c r="D23" s="18"/>
      <c r="E23" s="18"/>
      <c r="F23" s="18"/>
    </row>
    <row r="24" customFormat="false" ht="15" hidden="false" customHeight="false" outlineLevel="0" collapsed="false">
      <c r="A24" s="18"/>
      <c r="B24" s="18"/>
      <c r="C24" s="18"/>
      <c r="D24" s="18"/>
      <c r="E24" s="18"/>
      <c r="F24" s="18"/>
    </row>
    <row r="25" customFormat="false" ht="15" hidden="false" customHeight="false" outlineLevel="0" collapsed="false">
      <c r="A25" s="18"/>
      <c r="B25" s="18"/>
      <c r="C25" s="18"/>
      <c r="D25" s="18"/>
      <c r="E25" s="18"/>
      <c r="F25" s="18"/>
    </row>
  </sheetData>
  <mergeCells count="1">
    <mergeCell ref="A23: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7" min="2" style="0" width="17"/>
  </cols>
  <sheetData>
    <row r="1" customFormat="false" ht="17.35" hidden="false" customHeight="false" outlineLevel="0" collapsed="false">
      <c r="A1" s="1" t="s">
        <v>99</v>
      </c>
    </row>
    <row r="3" customFormat="false" ht="15" hidden="false" customHeight="false" outlineLevel="0" collapsed="false">
      <c r="A3" s="12" t="s">
        <v>100</v>
      </c>
    </row>
    <row r="4" customFormat="false" ht="15" hidden="false" customHeight="false" outlineLevel="0" collapsed="false">
      <c r="A4" s="12" t="s">
        <v>101</v>
      </c>
    </row>
    <row r="5" customFormat="false" ht="15" hidden="false" customHeight="false" outlineLevel="0" collapsed="false">
      <c r="A5" s="10" t="s">
        <v>102</v>
      </c>
      <c r="B5" s="19" t="n">
        <f aca="false">SQRT(RSQ(Dataset!$I$2:$I$201,Dataset!$E$2:$E$201))</f>
        <v>0.773403064143426</v>
      </c>
    </row>
    <row r="6" customFormat="false" ht="15" hidden="false" customHeight="false" outlineLevel="0" collapsed="false">
      <c r="A6" s="10" t="s">
        <v>103</v>
      </c>
      <c r="B6" s="19" t="n">
        <f aca="false">RSQ(Dataset!$I$2:$I$201,Dataset!$E$2:$E$201)</f>
        <v>0.598152299626441</v>
      </c>
    </row>
    <row r="7" customFormat="false" ht="15" hidden="false" customHeight="false" outlineLevel="0" collapsed="false">
      <c r="A7" s="10" t="s">
        <v>104</v>
      </c>
      <c r="B7" s="19" t="n">
        <f aca="false">1-(1-B6)*(B9-1)/(B9-2)</f>
        <v>0.59612276578617</v>
      </c>
    </row>
    <row r="8" customFormat="false" ht="15" hidden="false" customHeight="false" outlineLevel="0" collapsed="false">
      <c r="A8" s="10" t="s">
        <v>105</v>
      </c>
      <c r="B8" s="19" t="n">
        <f aca="false">STEYX(Dataset!$I$2:$I$201,Dataset!$E$2:$E$201)</f>
        <v>86.2812305296652</v>
      </c>
    </row>
    <row r="9" customFormat="false" ht="15" hidden="false" customHeight="false" outlineLevel="0" collapsed="false">
      <c r="A9" s="10" t="s">
        <v>106</v>
      </c>
      <c r="B9" s="20" t="n">
        <f aca="false">COUNT(Dataset!$E$2:$E$201)</f>
        <v>200</v>
      </c>
    </row>
    <row r="11" customFormat="false" ht="15" hidden="false" customHeight="false" outlineLevel="0" collapsed="false">
      <c r="A11" s="12" t="s">
        <v>107</v>
      </c>
    </row>
    <row r="12" customFormat="false" ht="15" hidden="false" customHeight="false" outlineLevel="0" collapsed="false">
      <c r="A12" s="3"/>
      <c r="B12" s="3" t="s">
        <v>108</v>
      </c>
      <c r="C12" s="3" t="s">
        <v>109</v>
      </c>
      <c r="D12" s="3" t="s">
        <v>110</v>
      </c>
      <c r="E12" s="3" t="s">
        <v>111</v>
      </c>
      <c r="F12" s="3" t="s">
        <v>112</v>
      </c>
    </row>
    <row r="13" customFormat="false" ht="15" hidden="false" customHeight="false" outlineLevel="0" collapsed="false">
      <c r="A13" s="10" t="s">
        <v>113</v>
      </c>
      <c r="B13" s="10" t="n">
        <v>1</v>
      </c>
      <c r="C13" s="21" t="n">
        <f aca="false">INDEX(LINEST(Dataset!$I$2:$I$201,Dataset!$E$2:$E$201,TRUE(),TRUE()),5,1)</f>
        <v>2194058.18334028</v>
      </c>
      <c r="D13" s="21" t="n">
        <f aca="false">C13/B13</f>
        <v>2194058.18334028</v>
      </c>
      <c r="E13" s="21" t="n">
        <f aca="false">D13/D14</f>
        <v>294.723984275481</v>
      </c>
      <c r="F13" s="22" t="n">
        <f aca="false">FDIST(E13,B13,B14)</f>
        <v>4.62693675589086E-041</v>
      </c>
    </row>
    <row r="14" customFormat="false" ht="15" hidden="false" customHeight="false" outlineLevel="0" collapsed="false">
      <c r="A14" s="10" t="s">
        <v>114</v>
      </c>
      <c r="B14" s="10" t="n">
        <f aca="false">B9-2</f>
        <v>198</v>
      </c>
      <c r="C14" s="21" t="n">
        <f aca="false">INDEX(LINEST(Dataset!$I$2:$I$201,Dataset!$E$2:$E$201,TRUE(),TRUE()),5,2)</f>
        <v>1474001.24685922</v>
      </c>
      <c r="D14" s="21" t="n">
        <f aca="false">C14/B14</f>
        <v>7444.45074171322</v>
      </c>
      <c r="E14" s="21"/>
      <c r="F14" s="10"/>
    </row>
    <row r="15" customFormat="false" ht="15" hidden="false" customHeight="false" outlineLevel="0" collapsed="false">
      <c r="A15" s="10" t="s">
        <v>115</v>
      </c>
      <c r="B15" s="10" t="n">
        <f aca="false">B9-1</f>
        <v>199</v>
      </c>
      <c r="C15" s="21" t="n">
        <f aca="false">C13+C14</f>
        <v>3668059.4301995</v>
      </c>
      <c r="D15" s="21"/>
      <c r="E15" s="21"/>
      <c r="F15" s="10"/>
    </row>
    <row r="17" customFormat="false" ht="15" hidden="false" customHeight="false" outlineLevel="0" collapsed="false">
      <c r="A17" s="3"/>
      <c r="B17" s="3" t="s">
        <v>116</v>
      </c>
      <c r="C17" s="3" t="s">
        <v>105</v>
      </c>
      <c r="D17" s="3" t="s">
        <v>117</v>
      </c>
      <c r="E17" s="3" t="s">
        <v>118</v>
      </c>
      <c r="F17" s="3" t="s">
        <v>119</v>
      </c>
      <c r="G17" s="3" t="s">
        <v>120</v>
      </c>
    </row>
    <row r="18" customFormat="false" ht="15" hidden="false" customHeight="false" outlineLevel="0" collapsed="false">
      <c r="A18" s="10" t="s">
        <v>121</v>
      </c>
      <c r="B18" s="19" t="n">
        <f aca="false">INTERCEPT(Dataset!$I$2:$I$201,Dataset!$E$2:$E$201)</f>
        <v>-1.03155049019114</v>
      </c>
      <c r="C18" s="19" t="n">
        <f aca="false">INDEX(LINEST(Dataset!$I$2:$I$201,Dataset!$E$2:$E$201,TRUE(),TRUE()),2,2)</f>
        <v>20.8606170054455</v>
      </c>
      <c r="D18" s="19" t="n">
        <f aca="false">B18/C18</f>
        <v>-0.049449663445806</v>
      </c>
      <c r="E18" s="22" t="n">
        <f aca="false">TDIST(ABS(D18),$B$14,2)</f>
        <v>0.960610796968924</v>
      </c>
      <c r="F18" s="19" t="n">
        <f aca="false">B18-TINV(0.05,$B$14)*C18</f>
        <v>-42.1690518233791</v>
      </c>
      <c r="G18" s="19" t="n">
        <f aca="false">B18+TINV(0.05,$B$14)*C18</f>
        <v>40.1059508429969</v>
      </c>
    </row>
    <row r="19" customFormat="false" ht="15" hidden="false" customHeight="false" outlineLevel="0" collapsed="false">
      <c r="A19" s="10" t="s">
        <v>122</v>
      </c>
      <c r="B19" s="19" t="n">
        <f aca="false">SLOPE(Dataset!$I$2:$I$201,Dataset!$E$2:$E$201)</f>
        <v>0.350855988195122</v>
      </c>
      <c r="C19" s="19" t="n">
        <f aca="false">INDEX(LINEST(Dataset!$I$2:$I$201,Dataset!$E$2:$E$201,TRUE(),TRUE()),2,1)</f>
        <v>0.0204371886301356</v>
      </c>
      <c r="D19" s="19" t="n">
        <f aca="false">B19/C19</f>
        <v>17.167527028535</v>
      </c>
      <c r="E19" s="22" t="n">
        <f aca="false">TDIST(ABS(D19),$B$14,2)</f>
        <v>4.62693675589086E-041</v>
      </c>
      <c r="F19" s="19" t="n">
        <f aca="false">B19-TINV(0.05,$B$14)*C19</f>
        <v>0.310553495018657</v>
      </c>
      <c r="G19" s="19" t="n">
        <f aca="false">B19+TINV(0.05,$B$14)*C19</f>
        <v>0.391158481371587</v>
      </c>
    </row>
    <row r="21" customFormat="false" ht="15" hidden="false" customHeight="false" outlineLevel="0" collapsed="false">
      <c r="A21" s="12" t="s">
        <v>123</v>
      </c>
      <c r="B21" s="4" t="str">
        <f aca="false">"Profit = "&amp;TEXT(B18,"0.00")&amp;" + "&amp;TEXT(B19,"0.0000")&amp;" × Sales"</f>
        <v>Profit = -1.03 + 0.3509 × Sales</v>
      </c>
    </row>
    <row r="22" customFormat="false" ht="15" hidden="false" customHeight="false" outlineLevel="0" collapsed="false">
      <c r="A22" s="12" t="s">
        <v>124</v>
      </c>
      <c r="B22" s="4" t="str">
        <f aca="false">"Each extra ₹1 of sales is associated with ₹"&amp;TEXT(B19,"0.000")&amp;" more profit; Sales explains "&amp;TEXT(B6,"0.0%")&amp;" of the variation in Profit."</f>
        <v>Each extra ₹1 of sales is associated with ₹0.351 more profit; Sales explains 59.8% of the variation in Profit.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6"/>
  </cols>
  <sheetData>
    <row r="1" customFormat="false" ht="17.35" hidden="false" customHeight="false" outlineLevel="0" collapsed="false">
      <c r="A1" s="1" t="s">
        <v>125</v>
      </c>
    </row>
    <row r="3" customFormat="false" ht="15" hidden="false" customHeight="false" outlineLevel="0" collapsed="false">
      <c r="A3" s="3" t="s">
        <v>126</v>
      </c>
      <c r="B3" s="3" t="s">
        <v>6</v>
      </c>
      <c r="C3" s="3" t="s">
        <v>7</v>
      </c>
      <c r="D3" s="3" t="s">
        <v>8</v>
      </c>
      <c r="E3" s="3" t="s">
        <v>10</v>
      </c>
    </row>
    <row r="4" customFormat="false" ht="15" hidden="false" customHeight="false" outlineLevel="0" collapsed="false">
      <c r="A4" s="10" t="s">
        <v>127</v>
      </c>
      <c r="B4" s="21" t="n">
        <f aca="false">AVERAGE(Dataset!$E$2:$E$201)</f>
        <v>976.0888</v>
      </c>
      <c r="C4" s="21" t="n">
        <f aca="false">AVERAGE(Dataset!$F$2:$F$201)</f>
        <v>9.995</v>
      </c>
      <c r="D4" s="21" t="n">
        <f aca="false">AVERAGE(Dataset!$G$2:$G$201)</f>
        <v>0.09725</v>
      </c>
      <c r="E4" s="21" t="n">
        <f aca="false">AVERAGE(Dataset!$I$2:$I$201)</f>
        <v>341.43505</v>
      </c>
    </row>
    <row r="5" customFormat="false" ht="15" hidden="false" customHeight="false" outlineLevel="0" collapsed="false">
      <c r="A5" s="10" t="s">
        <v>105</v>
      </c>
      <c r="B5" s="21" t="n">
        <f aca="false">STDEV(Dataset!$E$2:$E$201)/SQRT(COUNT(Dataset!$E$2:$E$201))</f>
        <v>21.1618504489783</v>
      </c>
      <c r="C5" s="21" t="n">
        <f aca="false">STDEV(Dataset!$F$2:$F$201)/SQRT(COUNT(Dataset!$F$2:$F$201))</f>
        <v>0.399276827432576</v>
      </c>
      <c r="D5" s="21" t="n">
        <f aca="false">STDEV(Dataset!$G$2:$G$201)/SQRT(COUNT(Dataset!$G$2:$G$201))</f>
        <v>0.00511424137327527</v>
      </c>
      <c r="E5" s="21" t="n">
        <f aca="false">STDEV(Dataset!$I$2:$I$201)/SQRT(COUNT(Dataset!$I$2:$I$201))</f>
        <v>9.60011964723323</v>
      </c>
    </row>
    <row r="6" customFormat="false" ht="15" hidden="false" customHeight="false" outlineLevel="0" collapsed="false">
      <c r="A6" s="10" t="s">
        <v>128</v>
      </c>
      <c r="B6" s="21" t="n">
        <f aca="false">MEDIAN(Dataset!$E$2:$E$201)</f>
        <v>976.72</v>
      </c>
      <c r="C6" s="21" t="n">
        <f aca="false">MEDIAN(Dataset!$F$2:$F$201)</f>
        <v>10</v>
      </c>
      <c r="D6" s="21" t="n">
        <f aca="false">MEDIAN(Dataset!$G$2:$G$201)</f>
        <v>0.1</v>
      </c>
      <c r="E6" s="21" t="n">
        <f aca="false">MEDIAN(Dataset!$I$2:$I$201)</f>
        <v>332.255</v>
      </c>
    </row>
    <row r="7" customFormat="false" ht="15" hidden="false" customHeight="false" outlineLevel="0" collapsed="false">
      <c r="A7" s="10" t="s">
        <v>129</v>
      </c>
      <c r="B7" s="21" t="str">
        <f aca="false">IFERROR(MODE(Dataset!$E$2:$E$201),"N/A")</f>
        <v>N/A</v>
      </c>
      <c r="C7" s="21" t="n">
        <f aca="false">IFERROR(MODE(Dataset!$F$2:$F$201),"N/A")</f>
        <v>8</v>
      </c>
      <c r="D7" s="21" t="n">
        <f aca="false">IFERROR(MODE(Dataset!$G$2:$G$201),"N/A")</f>
        <v>0</v>
      </c>
      <c r="E7" s="21" t="str">
        <f aca="false">IFERROR(MODE(Dataset!$I$2:$I$201),"N/A")</f>
        <v>N/A</v>
      </c>
    </row>
    <row r="8" customFormat="false" ht="15" hidden="false" customHeight="false" outlineLevel="0" collapsed="false">
      <c r="A8" s="10" t="s">
        <v>130</v>
      </c>
      <c r="B8" s="21" t="n">
        <f aca="false">STDEV(Dataset!$E$2:$E$201)</f>
        <v>299.273759098563</v>
      </c>
      <c r="C8" s="21" t="n">
        <f aca="false">STDEV(Dataset!$F$2:$F$201)</f>
        <v>5.64662704496451</v>
      </c>
      <c r="D8" s="21" t="n">
        <f aca="false">STDEV(Dataset!$G$2:$G$201)</f>
        <v>0.072326295113355</v>
      </c>
      <c r="E8" s="21" t="n">
        <f aca="false">STDEV(Dataset!$I$2:$I$201)</f>
        <v>135.766194055216</v>
      </c>
    </row>
    <row r="9" customFormat="false" ht="15" hidden="false" customHeight="false" outlineLevel="0" collapsed="false">
      <c r="A9" s="10" t="s">
        <v>131</v>
      </c>
      <c r="B9" s="21" t="n">
        <f aca="false">VAR(Dataset!$E$2:$E$201)</f>
        <v>89564.7828849849</v>
      </c>
      <c r="C9" s="21" t="n">
        <f aca="false">VAR(Dataset!$F$2:$F$201)</f>
        <v>31.8843969849246</v>
      </c>
      <c r="D9" s="21" t="n">
        <f aca="false">VAR(Dataset!$G$2:$G$201)</f>
        <v>0.00523109296482411</v>
      </c>
      <c r="E9" s="21" t="n">
        <f aca="false">VAR(Dataset!$I$2:$I$201)</f>
        <v>18432.4594482387</v>
      </c>
    </row>
    <row r="10" customFormat="false" ht="15" hidden="false" customHeight="false" outlineLevel="0" collapsed="false">
      <c r="A10" s="10" t="s">
        <v>132</v>
      </c>
      <c r="B10" s="21" t="n">
        <f aca="false">KURT(Dataset!$E$2:$E$201)</f>
        <v>-0.0885952319197454</v>
      </c>
      <c r="C10" s="21" t="n">
        <f aca="false">KURT(Dataset!$F$2:$F$201)</f>
        <v>-1.20910538266207</v>
      </c>
      <c r="D10" s="21" t="n">
        <f aca="false">KURT(Dataset!$G$2:$G$201)</f>
        <v>-1.32570124158558</v>
      </c>
      <c r="E10" s="21" t="n">
        <f aca="false">KURT(Dataset!$I$2:$I$201)</f>
        <v>0.264506438135828</v>
      </c>
    </row>
    <row r="11" customFormat="false" ht="15" hidden="false" customHeight="false" outlineLevel="0" collapsed="false">
      <c r="A11" s="10" t="s">
        <v>133</v>
      </c>
      <c r="B11" s="21" t="n">
        <f aca="false">SKEW(Dataset!$E$2:$E$201)</f>
        <v>0.146857965641932</v>
      </c>
      <c r="C11" s="21" t="n">
        <f aca="false">SKEW(Dataset!$F$2:$F$201)</f>
        <v>0.0608458643207785</v>
      </c>
      <c r="D11" s="21" t="n">
        <f aca="false">SKEW(Dataset!$G$2:$G$201)</f>
        <v>0.0968273855766847</v>
      </c>
      <c r="E11" s="21" t="n">
        <f aca="false">SKEW(Dataset!$I$2:$I$201)</f>
        <v>0.573396360634248</v>
      </c>
    </row>
    <row r="12" customFormat="false" ht="15" hidden="false" customHeight="false" outlineLevel="0" collapsed="false">
      <c r="A12" s="10" t="s">
        <v>134</v>
      </c>
      <c r="B12" s="21" t="n">
        <f aca="false">MAX(Dataset!$E$2:$E$201)-MIN(Dataset!$E$2:$E$201)</f>
        <v>1665.15</v>
      </c>
      <c r="C12" s="21" t="n">
        <f aca="false">MAX(Dataset!$F$2:$F$201)-MIN(Dataset!$F$2:$F$201)</f>
        <v>18</v>
      </c>
      <c r="D12" s="21" t="n">
        <f aca="false">MAX(Dataset!$G$2:$G$201)-MIN(Dataset!$G$2:$G$201)</f>
        <v>0.2</v>
      </c>
      <c r="E12" s="21" t="n">
        <f aca="false">MAX(Dataset!$I$2:$I$201)-MIN(Dataset!$I$2:$I$201)</f>
        <v>704.83</v>
      </c>
    </row>
    <row r="13" customFormat="false" ht="15" hidden="false" customHeight="false" outlineLevel="0" collapsed="false">
      <c r="A13" s="10" t="s">
        <v>135</v>
      </c>
      <c r="B13" s="21" t="n">
        <f aca="false">MIN(Dataset!$E$2:$E$201)</f>
        <v>258.51</v>
      </c>
      <c r="C13" s="21" t="n">
        <f aca="false">MIN(Dataset!$F$2:$F$201)</f>
        <v>1</v>
      </c>
      <c r="D13" s="21" t="n">
        <f aca="false">MIN(Dataset!$G$2:$G$201)</f>
        <v>0</v>
      </c>
      <c r="E13" s="21" t="n">
        <f aca="false">MIN(Dataset!$I$2:$I$201)</f>
        <v>64.63</v>
      </c>
    </row>
    <row r="14" customFormat="false" ht="15" hidden="false" customHeight="false" outlineLevel="0" collapsed="false">
      <c r="A14" s="10" t="s">
        <v>136</v>
      </c>
      <c r="B14" s="21" t="n">
        <f aca="false">MAX(Dataset!$E$2:$E$201)</f>
        <v>1923.66</v>
      </c>
      <c r="C14" s="21" t="n">
        <f aca="false">MAX(Dataset!$F$2:$F$201)</f>
        <v>19</v>
      </c>
      <c r="D14" s="21" t="n">
        <f aca="false">MAX(Dataset!$G$2:$G$201)</f>
        <v>0.2</v>
      </c>
      <c r="E14" s="21" t="n">
        <f aca="false">MAX(Dataset!$I$2:$I$201)</f>
        <v>769.46</v>
      </c>
    </row>
    <row r="15" customFormat="false" ht="15" hidden="false" customHeight="false" outlineLevel="0" collapsed="false">
      <c r="A15" s="10" t="s">
        <v>137</v>
      </c>
      <c r="B15" s="21" t="n">
        <f aca="false">SUM(Dataset!$E$2:$E$201)</f>
        <v>195217.76</v>
      </c>
      <c r="C15" s="21" t="n">
        <f aca="false">SUM(Dataset!$F$2:$F$201)</f>
        <v>1999</v>
      </c>
      <c r="D15" s="21" t="n">
        <f aca="false">SUM(Dataset!$G$2:$G$201)</f>
        <v>19.45</v>
      </c>
      <c r="E15" s="21" t="n">
        <f aca="false">SUM(Dataset!$I$2:$I$201)</f>
        <v>68287.01</v>
      </c>
    </row>
    <row r="16" customFormat="false" ht="15" hidden="false" customHeight="false" outlineLevel="0" collapsed="false">
      <c r="A16" s="10" t="s">
        <v>138</v>
      </c>
      <c r="B16" s="20" t="n">
        <f aca="false">COUNT(Dataset!$E$2:$E$201)</f>
        <v>200</v>
      </c>
      <c r="C16" s="20" t="n">
        <f aca="false">COUNT(Dataset!$F$2:$F$201)</f>
        <v>200</v>
      </c>
      <c r="D16" s="20" t="n">
        <f aca="false">COUNT(Dataset!$G$2:$G$201)</f>
        <v>200</v>
      </c>
      <c r="E16" s="20" t="n">
        <f aca="false">COUNT(Dataset!$I$2:$I$201)</f>
        <v>200</v>
      </c>
    </row>
    <row r="17" customFormat="false" ht="15" hidden="false" customHeight="false" outlineLevel="0" collapsed="false">
      <c r="A17" s="10" t="s">
        <v>139</v>
      </c>
      <c r="B17" s="21" t="n">
        <f aca="false">LARGE(Dataset!$E$2:$E$201,1)</f>
        <v>1923.66</v>
      </c>
      <c r="C17" s="21" t="n">
        <f aca="false">LARGE(Dataset!$F$2:$F$201,1)</f>
        <v>19</v>
      </c>
      <c r="D17" s="21" t="n">
        <f aca="false">LARGE(Dataset!$G$2:$G$201,1)</f>
        <v>0.2</v>
      </c>
      <c r="E17" s="21" t="n">
        <f aca="false">LARGE(Dataset!$I$2:$I$201,1)</f>
        <v>769.46</v>
      </c>
    </row>
    <row r="18" customFormat="false" ht="15" hidden="false" customHeight="false" outlineLevel="0" collapsed="false">
      <c r="A18" s="10" t="s">
        <v>140</v>
      </c>
      <c r="B18" s="21" t="n">
        <f aca="false">SMALL(Dataset!$E$2:$E$201,1)</f>
        <v>258.51</v>
      </c>
      <c r="C18" s="21" t="n">
        <f aca="false">SMALL(Dataset!$F$2:$F$201,1)</f>
        <v>1</v>
      </c>
      <c r="D18" s="21" t="n">
        <f aca="false">SMALL(Dataset!$G$2:$G$201,1)</f>
        <v>0</v>
      </c>
      <c r="E18" s="21" t="n">
        <f aca="false">SMALL(Dataset!$I$2:$I$201,1)</f>
        <v>64.63</v>
      </c>
    </row>
    <row r="19" customFormat="false" ht="15" hidden="false" customHeight="false" outlineLevel="0" collapsed="false">
      <c r="A19" s="10" t="s">
        <v>141</v>
      </c>
      <c r="B19" s="21" t="n">
        <f aca="false">TINV(0.05,COUNT(Dataset!$E$2:$E$201)-1)*STDEV(Dataset!$E$2:$E$201)/SQRT(COUNT(Dataset!$E$2:$E$201))</f>
        <v>41.7302494813398</v>
      </c>
      <c r="C19" s="21" t="n">
        <f aca="false">TINV(0.05,COUNT(Dataset!$F$2:$F$201)-1)*STDEV(Dataset!$F$2:$F$201)/SQRT(COUNT(Dataset!$F$2:$F$201))</f>
        <v>0.787356552823748</v>
      </c>
      <c r="D19" s="21" t="n">
        <f aca="false">TINV(0.05,COUNT(Dataset!$G$2:$G$201)-1)*STDEV(Dataset!$G$2:$G$201)/SQRT(COUNT(Dataset!$G$2:$G$201))</f>
        <v>0.0100850617449133</v>
      </c>
      <c r="E19" s="21" t="n">
        <f aca="false">TINV(0.05,COUNT(Dataset!$I$2:$I$201)-1)*STDEV(Dataset!$I$2:$I$201)/SQRT(COUNT(Dataset!$I$2:$I$201))</f>
        <v>18.9310187639614</v>
      </c>
    </row>
    <row r="21" customFormat="false" ht="15" hidden="false" customHeight="false" outlineLevel="0" collapsed="false">
      <c r="A21" s="9"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0"/>
  </cols>
  <sheetData>
    <row r="1" customFormat="false" ht="17.35" hidden="false" customHeight="false" outlineLevel="0" collapsed="false">
      <c r="A1" s="1" t="s">
        <v>143</v>
      </c>
    </row>
    <row r="3" customFormat="false" ht="15" hidden="false" customHeight="false" outlineLevel="0" collapsed="false">
      <c r="A3" s="3" t="s">
        <v>144</v>
      </c>
      <c r="B3" s="3" t="s">
        <v>95</v>
      </c>
      <c r="C3" s="3" t="s">
        <v>145</v>
      </c>
    </row>
    <row r="4" customFormat="false" ht="15" hidden="false" customHeight="false" outlineLevel="0" collapsed="false">
      <c r="A4" s="23" t="n">
        <f aca="false">DATE(YEAR(MIN(Dataset!$H$2:$H$201)),MONTH(MIN(Dataset!$H$2:$H$201)),1)</f>
        <v>45383</v>
      </c>
      <c r="B4" s="11" t="n">
        <f aca="false">SUMIFS(Dataset!$E$2:$E$201,Dataset!$H$2:$H$201,"&gt;="&amp;A4,Dataset!$H$2:$H$201,"&lt;"&amp;EDATE(A4,1))</f>
        <v>19029.96</v>
      </c>
      <c r="C4" s="24" t="s">
        <v>146</v>
      </c>
    </row>
    <row r="5" customFormat="false" ht="15" hidden="false" customHeight="false" outlineLevel="0" collapsed="false">
      <c r="A5" s="23" t="n">
        <f aca="false">EDATE(A4,1)</f>
        <v>45413</v>
      </c>
      <c r="B5" s="11" t="n">
        <f aca="false">SUMIFS(Dataset!$E$2:$E$201,Dataset!$H$2:$H$201,"&gt;="&amp;A5,Dataset!$H$2:$H$201,"&lt;"&amp;EDATE(A5,1))</f>
        <v>18507.34</v>
      </c>
      <c r="C5" s="25" t="n">
        <f aca="false">IF(B4=0,0,(B5-B4)/B4)</f>
        <v>-0.0274630109574586</v>
      </c>
    </row>
    <row r="6" customFormat="false" ht="15" hidden="false" customHeight="false" outlineLevel="0" collapsed="false">
      <c r="A6" s="23" t="n">
        <f aca="false">EDATE(A5,1)</f>
        <v>45444</v>
      </c>
      <c r="B6" s="11" t="n">
        <f aca="false">SUMIFS(Dataset!$E$2:$E$201,Dataset!$H$2:$H$201,"&gt;="&amp;A6,Dataset!$H$2:$H$201,"&lt;"&amp;EDATE(A6,1))</f>
        <v>20187.51</v>
      </c>
      <c r="C6" s="25" t="n">
        <f aca="false">IF(B5=0,0,(B6-B5)/B5)</f>
        <v>0.0907839808421955</v>
      </c>
    </row>
    <row r="7" customFormat="false" ht="15" hidden="false" customHeight="false" outlineLevel="0" collapsed="false">
      <c r="A7" s="23" t="n">
        <f aca="false">EDATE(A6,1)</f>
        <v>45474</v>
      </c>
      <c r="B7" s="11" t="n">
        <f aca="false">SUMIFS(Dataset!$E$2:$E$201,Dataset!$H$2:$H$201,"&gt;="&amp;A7,Dataset!$H$2:$H$201,"&lt;"&amp;EDATE(A7,1))</f>
        <v>11609.04</v>
      </c>
      <c r="C7" s="25" t="n">
        <f aca="false">IF(B6=0,0,(B7-B6)/B6)</f>
        <v>-0.42493947990614</v>
      </c>
    </row>
    <row r="8" customFormat="false" ht="15" hidden="false" customHeight="false" outlineLevel="0" collapsed="false">
      <c r="A8" s="23" t="n">
        <f aca="false">EDATE(A7,1)</f>
        <v>45505</v>
      </c>
      <c r="B8" s="11" t="n">
        <f aca="false">SUMIFS(Dataset!$E$2:$E$201,Dataset!$H$2:$H$201,"&gt;="&amp;A8,Dataset!$H$2:$H$201,"&lt;"&amp;EDATE(A8,1))</f>
        <v>10091.7</v>
      </c>
      <c r="C8" s="25" t="n">
        <f aca="false">IF(B7=0,0,(B8-B7)/B7)</f>
        <v>-0.130703313969114</v>
      </c>
    </row>
    <row r="9" customFormat="false" ht="15" hidden="false" customHeight="false" outlineLevel="0" collapsed="false">
      <c r="A9" s="23" t="n">
        <f aca="false">EDATE(A8,1)</f>
        <v>45536</v>
      </c>
      <c r="B9" s="11" t="n">
        <f aca="false">SUMIFS(Dataset!$E$2:$E$201,Dataset!$H$2:$H$201,"&gt;="&amp;A9,Dataset!$H$2:$H$201,"&lt;"&amp;EDATE(A9,1))</f>
        <v>20533.5</v>
      </c>
      <c r="C9" s="25" t="n">
        <f aca="false">IF(B8=0,0,(B9-B8)/B8)</f>
        <v>1.03469187550165</v>
      </c>
    </row>
    <row r="10" customFormat="false" ht="15" hidden="false" customHeight="false" outlineLevel="0" collapsed="false">
      <c r="A10" s="23" t="n">
        <f aca="false">EDATE(A9,1)</f>
        <v>45566</v>
      </c>
      <c r="B10" s="11" t="n">
        <f aca="false">SUMIFS(Dataset!$E$2:$E$201,Dataset!$H$2:$H$201,"&gt;="&amp;A10,Dataset!$H$2:$H$201,"&lt;"&amp;EDATE(A10,1))</f>
        <v>14215.24</v>
      </c>
      <c r="C10" s="25" t="n">
        <f aca="false">IF(B9=0,0,(B10-B9)/B9)</f>
        <v>-0.307704969927192</v>
      </c>
    </row>
    <row r="11" customFormat="false" ht="15" hidden="false" customHeight="false" outlineLevel="0" collapsed="false">
      <c r="A11" s="23" t="n">
        <f aca="false">EDATE(A10,1)</f>
        <v>45597</v>
      </c>
      <c r="B11" s="11" t="n">
        <f aca="false">SUMIFS(Dataset!$E$2:$E$201,Dataset!$H$2:$H$201,"&gt;="&amp;A11,Dataset!$H$2:$H$201,"&lt;"&amp;EDATE(A11,1))</f>
        <v>20135.03</v>
      </c>
      <c r="C11" s="25" t="n">
        <f aca="false">IF(B10=0,0,(B11-B10)/B10)</f>
        <v>0.416439680230513</v>
      </c>
    </row>
    <row r="12" customFormat="false" ht="15" hidden="false" customHeight="false" outlineLevel="0" collapsed="false">
      <c r="A12" s="23" t="n">
        <f aca="false">EDATE(A11,1)</f>
        <v>45627</v>
      </c>
      <c r="B12" s="11" t="n">
        <f aca="false">SUMIFS(Dataset!$E$2:$E$201,Dataset!$H$2:$H$201,"&gt;="&amp;A12,Dataset!$H$2:$H$201,"&lt;"&amp;EDATE(A12,1))</f>
        <v>11120.04</v>
      </c>
      <c r="C12" s="25" t="n">
        <f aca="false">IF(B11=0,0,(B12-B11)/B11)</f>
        <v>-0.447726673364778</v>
      </c>
    </row>
    <row r="13" customFormat="false" ht="15" hidden="false" customHeight="false" outlineLevel="0" collapsed="false">
      <c r="A13" s="23" t="n">
        <f aca="false">EDATE(A12,1)</f>
        <v>45658</v>
      </c>
      <c r="B13" s="11" t="n">
        <f aca="false">SUMIFS(Dataset!$E$2:$E$201,Dataset!$H$2:$H$201,"&gt;="&amp;A13,Dataset!$H$2:$H$201,"&lt;"&amp;EDATE(A13,1))</f>
        <v>14914.65</v>
      </c>
      <c r="C13" s="25" t="n">
        <f aca="false">IF(B12=0,0,(B13-B12)/B12)</f>
        <v>0.341240678990363</v>
      </c>
    </row>
    <row r="14" customFormat="false" ht="15" hidden="false" customHeight="false" outlineLevel="0" collapsed="false">
      <c r="A14" s="23" t="n">
        <f aca="false">EDATE(A13,1)</f>
        <v>45689</v>
      </c>
      <c r="B14" s="11" t="n">
        <f aca="false">SUMIFS(Dataset!$E$2:$E$201,Dataset!$H$2:$H$201,"&gt;="&amp;A14,Dataset!$H$2:$H$201,"&lt;"&amp;EDATE(A14,1))</f>
        <v>14006.36</v>
      </c>
      <c r="C14" s="25" t="n">
        <f aca="false">IF(B13=0,0,(B14-B13)/B13)</f>
        <v>-0.0608991830180392</v>
      </c>
    </row>
    <row r="15" customFormat="false" ht="15" hidden="false" customHeight="false" outlineLevel="0" collapsed="false">
      <c r="A15" s="23" t="n">
        <f aca="false">EDATE(A14,1)</f>
        <v>45717</v>
      </c>
      <c r="B15" s="11" t="n">
        <f aca="false">SUMIFS(Dataset!$E$2:$E$201,Dataset!$H$2:$H$201,"&gt;="&amp;A15,Dataset!$H$2:$H$201,"&lt;"&amp;EDATE(A15,1))</f>
        <v>17655.22</v>
      </c>
      <c r="C15" s="25" t="n">
        <f aca="false">IF(B14=0,0,(B15-B14)/B14)</f>
        <v>0.260514509122998</v>
      </c>
    </row>
    <row r="16" customFormat="false" ht="15" hidden="false" customHeight="false" outlineLevel="0" collapsed="false">
      <c r="A16" s="23" t="n">
        <f aca="false">EDATE(A15,1)</f>
        <v>45748</v>
      </c>
      <c r="B16" s="11" t="n">
        <f aca="false">SUMIFS(Dataset!$E$2:$E$201,Dataset!$H$2:$H$201,"&gt;="&amp;A16,Dataset!$H$2:$H$201,"&lt;"&amp;EDATE(A16,1))</f>
        <v>3212.17</v>
      </c>
      <c r="C16" s="25" t="n">
        <f aca="false">IF(B15=0,0,(B16-B15)/B15)</f>
        <v>-0.818061173975742</v>
      </c>
    </row>
    <row r="18" customFormat="false" ht="15" hidden="false" customHeight="false" outlineLevel="0" collapsed="false">
      <c r="A18" s="12" t="s">
        <v>115</v>
      </c>
      <c r="B18" s="26" t="n">
        <f aca="false">SUM(B4:B16)</f>
        <v>195217.76</v>
      </c>
      <c r="C18" s="9" t="str">
        <f aca="false">IF(B18=SUM(Dataset!$E$2:$E$201),"✔ ties to Dataset","check")</f>
        <v>✔ ties to Dataset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0"/>
    <col collapsed="false" customWidth="true" hidden="false" outlineLevel="0" max="4" min="4" style="0" width="18"/>
    <col collapsed="false" customWidth="true" hidden="false" outlineLevel="0" max="6" min="5" style="0" width="14"/>
  </cols>
  <sheetData>
    <row r="1" customFormat="false" ht="17.35" hidden="false" customHeight="false" outlineLevel="0" collapsed="false">
      <c r="A1" s="1" t="s">
        <v>147</v>
      </c>
    </row>
    <row r="3" customFormat="false" ht="15" hidden="false" customHeight="false" outlineLevel="0" collapsed="false">
      <c r="A3" s="12" t="s">
        <v>148</v>
      </c>
      <c r="D3" s="11" t="n">
        <f aca="false">AVERAGE('Top 10 Customers'!$B$4:$B$33)</f>
        <v>6507.25866666667</v>
      </c>
    </row>
    <row r="5" customFormat="false" ht="15" hidden="false" customHeight="false" outlineLevel="0" collapsed="false">
      <c r="A5" s="3" t="s">
        <v>81</v>
      </c>
      <c r="B5" s="3" t="s">
        <v>2</v>
      </c>
      <c r="C5" s="3" t="s">
        <v>80</v>
      </c>
      <c r="D5" s="3" t="s">
        <v>96</v>
      </c>
      <c r="E5" s="3" t="s">
        <v>149</v>
      </c>
      <c r="F5" s="3" t="s">
        <v>150</v>
      </c>
      <c r="H5" s="9" t="s">
        <v>151</v>
      </c>
    </row>
    <row r="6" customFormat="false" ht="15" hidden="false" customHeight="false" outlineLevel="0" collapsed="false">
      <c r="A6" s="10" t="n">
        <v>1</v>
      </c>
      <c r="B6" s="10" t="str">
        <f aca="false">INDEX('Top 10 Customers'!$A$4:$A$33,MATCH(C6,'Top 10 Customers'!$B$4:$B$33,0))</f>
        <v>CUST015</v>
      </c>
      <c r="C6" s="11" t="n">
        <f aca="false">LARGE('Top 10 Customers'!$B$4:$B$33,A6)</f>
        <v>11611.06</v>
      </c>
      <c r="D6" s="11" t="n">
        <f aca="false">SUMIF(Dataset!$A$2:$A$201,B6,Dataset!$I$2:$I$201)</f>
        <v>4201.59</v>
      </c>
      <c r="E6" s="10" t="n">
        <f aca="false">COUNTIF(Dataset!$A$2:$A$201,B6)</f>
        <v>11</v>
      </c>
      <c r="F6" s="10" t="str">
        <f aca="false">IF(C6&gt;=$D$3,"High-Value","Standard")</f>
        <v>High-Value</v>
      </c>
    </row>
    <row r="7" customFormat="false" ht="15" hidden="false" customHeight="false" outlineLevel="0" collapsed="false">
      <c r="A7" s="10" t="n">
        <v>2</v>
      </c>
      <c r="B7" s="10" t="str">
        <f aca="false">INDEX('Top 10 Customers'!$A$4:$A$33,MATCH(C7,'Top 10 Customers'!$B$4:$B$33,0))</f>
        <v>CUST028</v>
      </c>
      <c r="C7" s="11" t="n">
        <f aca="false">LARGE('Top 10 Customers'!$B$4:$B$33,A7)</f>
        <v>10293.87</v>
      </c>
      <c r="D7" s="11" t="n">
        <f aca="false">SUMIF(Dataset!$A$2:$A$201,B7,Dataset!$I$2:$I$201)</f>
        <v>3541.02</v>
      </c>
      <c r="E7" s="10" t="n">
        <f aca="false">COUNTIF(Dataset!$A$2:$A$201,B7)</f>
        <v>12</v>
      </c>
      <c r="F7" s="10" t="str">
        <f aca="false">IF(C7&gt;=$D$3,"High-Value","Standard")</f>
        <v>High-Value</v>
      </c>
    </row>
    <row r="8" customFormat="false" ht="15" hidden="false" customHeight="false" outlineLevel="0" collapsed="false">
      <c r="A8" s="10" t="n">
        <v>3</v>
      </c>
      <c r="B8" s="10" t="str">
        <f aca="false">INDEX('Top 10 Customers'!$A$4:$A$33,MATCH(C8,'Top 10 Customers'!$B$4:$B$33,0))</f>
        <v>CUST007</v>
      </c>
      <c r="C8" s="11" t="n">
        <f aca="false">LARGE('Top 10 Customers'!$B$4:$B$33,A8)</f>
        <v>9941.88</v>
      </c>
      <c r="D8" s="11" t="n">
        <f aca="false">SUMIF(Dataset!$A$2:$A$201,B8,Dataset!$I$2:$I$201)</f>
        <v>3936.26</v>
      </c>
      <c r="E8" s="10" t="n">
        <f aca="false">COUNTIF(Dataset!$A$2:$A$201,B8)</f>
        <v>10</v>
      </c>
      <c r="F8" s="10" t="str">
        <f aca="false">IF(C8&gt;=$D$3,"High-Value","Standard")</f>
        <v>High-Value</v>
      </c>
    </row>
    <row r="9" customFormat="false" ht="15" hidden="false" customHeight="false" outlineLevel="0" collapsed="false">
      <c r="A9" s="10" t="n">
        <v>4</v>
      </c>
      <c r="B9" s="10" t="str">
        <f aca="false">INDEX('Top 10 Customers'!$A$4:$A$33,MATCH(C9,'Top 10 Customers'!$B$4:$B$33,0))</f>
        <v>CUST008</v>
      </c>
      <c r="C9" s="11" t="n">
        <f aca="false">LARGE('Top 10 Customers'!$B$4:$B$33,A9)</f>
        <v>9760.8</v>
      </c>
      <c r="D9" s="11" t="n">
        <f aca="false">SUMIF(Dataset!$A$2:$A$201,B9,Dataset!$I$2:$I$201)</f>
        <v>3442.48</v>
      </c>
      <c r="E9" s="10" t="n">
        <f aca="false">COUNTIF(Dataset!$A$2:$A$201,B9)</f>
        <v>10</v>
      </c>
      <c r="F9" s="10" t="str">
        <f aca="false">IF(C9&gt;=$D$3,"High-Value","Standard")</f>
        <v>High-Value</v>
      </c>
    </row>
    <row r="10" customFormat="false" ht="15" hidden="false" customHeight="false" outlineLevel="0" collapsed="false">
      <c r="A10" s="10" t="n">
        <v>5</v>
      </c>
      <c r="B10" s="10" t="str">
        <f aca="false">INDEX('Top 10 Customers'!$A$4:$A$33,MATCH(C10,'Top 10 Customers'!$B$4:$B$33,0))</f>
        <v>CUST026</v>
      </c>
      <c r="C10" s="11" t="n">
        <f aca="false">LARGE('Top 10 Customers'!$B$4:$B$33,A10)</f>
        <v>9371.81</v>
      </c>
      <c r="D10" s="11" t="n">
        <f aca="false">SUMIF(Dataset!$A$2:$A$201,B10,Dataset!$I$2:$I$201)</f>
        <v>2922.02</v>
      </c>
      <c r="E10" s="10" t="n">
        <f aca="false">COUNTIF(Dataset!$A$2:$A$201,B10)</f>
        <v>9</v>
      </c>
      <c r="F10" s="10" t="str">
        <f aca="false">IF(C10&gt;=$D$3,"High-Value","Standard")</f>
        <v>High-Value</v>
      </c>
    </row>
    <row r="11" customFormat="false" ht="15" hidden="false" customHeight="false" outlineLevel="0" collapsed="false">
      <c r="A11" s="10" t="n">
        <v>6</v>
      </c>
      <c r="B11" s="10" t="str">
        <f aca="false">INDEX('Top 10 Customers'!$A$4:$A$33,MATCH(C11,'Top 10 Customers'!$B$4:$B$33,0))</f>
        <v>CUST021</v>
      </c>
      <c r="C11" s="11" t="n">
        <f aca="false">LARGE('Top 10 Customers'!$B$4:$B$33,A11)</f>
        <v>8740.18</v>
      </c>
      <c r="D11" s="11" t="n">
        <f aca="false">SUMIF(Dataset!$A$2:$A$201,B11,Dataset!$I$2:$I$201)</f>
        <v>2848.62</v>
      </c>
      <c r="E11" s="10" t="n">
        <f aca="false">COUNTIF(Dataset!$A$2:$A$201,B11)</f>
        <v>8</v>
      </c>
      <c r="F11" s="10" t="str">
        <f aca="false">IF(C11&gt;=$D$3,"High-Value","Standard")</f>
        <v>High-Value</v>
      </c>
    </row>
    <row r="12" customFormat="false" ht="15" hidden="false" customHeight="false" outlineLevel="0" collapsed="false">
      <c r="A12" s="10" t="n">
        <v>7</v>
      </c>
      <c r="B12" s="10" t="str">
        <f aca="false">INDEX('Top 10 Customers'!$A$4:$A$33,MATCH(C12,'Top 10 Customers'!$B$4:$B$33,0))</f>
        <v>CUST003</v>
      </c>
      <c r="C12" s="11" t="n">
        <f aca="false">LARGE('Top 10 Customers'!$B$4:$B$33,A12)</f>
        <v>8490.18</v>
      </c>
      <c r="D12" s="11" t="n">
        <f aca="false">SUMIF(Dataset!$A$2:$A$201,B12,Dataset!$I$2:$I$201)</f>
        <v>2652.75</v>
      </c>
      <c r="E12" s="10" t="n">
        <f aca="false">COUNTIF(Dataset!$A$2:$A$201,B12)</f>
        <v>9</v>
      </c>
      <c r="F12" s="10" t="str">
        <f aca="false">IF(C12&gt;=$D$3,"High-Value","Standard")</f>
        <v>High-Value</v>
      </c>
    </row>
    <row r="13" customFormat="false" ht="15" hidden="false" customHeight="false" outlineLevel="0" collapsed="false">
      <c r="A13" s="10" t="n">
        <v>8</v>
      </c>
      <c r="B13" s="10" t="str">
        <f aca="false">INDEX('Top 10 Customers'!$A$4:$A$33,MATCH(C13,'Top 10 Customers'!$B$4:$B$33,0))</f>
        <v>CUST012</v>
      </c>
      <c r="C13" s="11" t="n">
        <f aca="false">LARGE('Top 10 Customers'!$B$4:$B$33,A13)</f>
        <v>8339</v>
      </c>
      <c r="D13" s="11" t="n">
        <f aca="false">SUMIF(Dataset!$A$2:$A$201,B13,Dataset!$I$2:$I$201)</f>
        <v>2988.71</v>
      </c>
      <c r="E13" s="10" t="n">
        <f aca="false">COUNTIF(Dataset!$A$2:$A$201,B13)</f>
        <v>9</v>
      </c>
      <c r="F13" s="10" t="str">
        <f aca="false">IF(C13&gt;=$D$3,"High-Value","Standard")</f>
        <v>High-Value</v>
      </c>
    </row>
    <row r="14" customFormat="false" ht="15" hidden="false" customHeight="false" outlineLevel="0" collapsed="false">
      <c r="A14" s="10" t="n">
        <v>9</v>
      </c>
      <c r="B14" s="10" t="str">
        <f aca="false">INDEX('Top 10 Customers'!$A$4:$A$33,MATCH(C14,'Top 10 Customers'!$B$4:$B$33,0))</f>
        <v>CUST030</v>
      </c>
      <c r="C14" s="11" t="n">
        <f aca="false">LARGE('Top 10 Customers'!$B$4:$B$33,A14)</f>
        <v>7928.71</v>
      </c>
      <c r="D14" s="11" t="n">
        <f aca="false">SUMIF(Dataset!$A$2:$A$201,B14,Dataset!$I$2:$I$201)</f>
        <v>2965.48</v>
      </c>
      <c r="E14" s="10" t="n">
        <f aca="false">COUNTIF(Dataset!$A$2:$A$201,B14)</f>
        <v>9</v>
      </c>
      <c r="F14" s="10" t="str">
        <f aca="false">IF(C14&gt;=$D$3,"High-Value","Standard")</f>
        <v>High-Value</v>
      </c>
    </row>
    <row r="15" customFormat="false" ht="15" hidden="false" customHeight="false" outlineLevel="0" collapsed="false">
      <c r="A15" s="10" t="n">
        <v>10</v>
      </c>
      <c r="B15" s="10" t="str">
        <f aca="false">INDEX('Top 10 Customers'!$A$4:$A$33,MATCH(C15,'Top 10 Customers'!$B$4:$B$33,0))</f>
        <v>CUST004</v>
      </c>
      <c r="C15" s="11" t="n">
        <f aca="false">LARGE('Top 10 Customers'!$B$4:$B$33,A15)</f>
        <v>7813.59</v>
      </c>
      <c r="D15" s="11" t="n">
        <f aca="false">SUMIF(Dataset!$A$2:$A$201,B15,Dataset!$I$2:$I$201)</f>
        <v>3211.82</v>
      </c>
      <c r="E15" s="10" t="n">
        <f aca="false">COUNTIF(Dataset!$A$2:$A$201,B15)</f>
        <v>7</v>
      </c>
      <c r="F15" s="10" t="str">
        <f aca="false">IF(C15&gt;=$D$3,"High-Value","Standard")</f>
        <v>High-Value</v>
      </c>
    </row>
    <row r="16" customFormat="false" ht="15" hidden="false" customHeight="false" outlineLevel="0" collapsed="false">
      <c r="A16" s="10" t="n">
        <v>11</v>
      </c>
      <c r="B16" s="10" t="str">
        <f aca="false">INDEX('Top 10 Customers'!$A$4:$A$33,MATCH(C16,'Top 10 Customers'!$B$4:$B$33,0))</f>
        <v>CUST024</v>
      </c>
      <c r="C16" s="11" t="n">
        <f aca="false">LARGE('Top 10 Customers'!$B$4:$B$33,A16)</f>
        <v>7583.13</v>
      </c>
      <c r="D16" s="11" t="n">
        <f aca="false">SUMIF(Dataset!$A$2:$A$201,B16,Dataset!$I$2:$I$201)</f>
        <v>2492.1</v>
      </c>
      <c r="E16" s="10" t="n">
        <f aca="false">COUNTIF(Dataset!$A$2:$A$201,B16)</f>
        <v>7</v>
      </c>
      <c r="F16" s="10" t="str">
        <f aca="false">IF(C16&gt;=$D$3,"High-Value","Standard")</f>
        <v>High-Value</v>
      </c>
    </row>
    <row r="17" customFormat="false" ht="15" hidden="false" customHeight="false" outlineLevel="0" collapsed="false">
      <c r="A17" s="10" t="n">
        <v>12</v>
      </c>
      <c r="B17" s="10" t="str">
        <f aca="false">INDEX('Top 10 Customers'!$A$4:$A$33,MATCH(C17,'Top 10 Customers'!$B$4:$B$33,0))</f>
        <v>CUST014</v>
      </c>
      <c r="C17" s="11" t="n">
        <f aca="false">LARGE('Top 10 Customers'!$B$4:$B$33,A17)</f>
        <v>6729.89</v>
      </c>
      <c r="D17" s="11" t="n">
        <f aca="false">SUMIF(Dataset!$A$2:$A$201,B17,Dataset!$I$2:$I$201)</f>
        <v>2507.18</v>
      </c>
      <c r="E17" s="10" t="n">
        <f aca="false">COUNTIF(Dataset!$A$2:$A$201,B17)</f>
        <v>6</v>
      </c>
      <c r="F17" s="10" t="str">
        <f aca="false">IF(C17&gt;=$D$3,"High-Value","Standard")</f>
        <v>High-Value</v>
      </c>
    </row>
    <row r="18" customFormat="false" ht="15" hidden="false" customHeight="false" outlineLevel="0" collapsed="false">
      <c r="A18" s="10" t="n">
        <v>13</v>
      </c>
      <c r="B18" s="10" t="str">
        <f aca="false">INDEX('Top 10 Customers'!$A$4:$A$33,MATCH(C18,'Top 10 Customers'!$B$4:$B$33,0))</f>
        <v>CUST025</v>
      </c>
      <c r="C18" s="11" t="n">
        <f aca="false">LARGE('Top 10 Customers'!$B$4:$B$33,A18)</f>
        <v>6716.52</v>
      </c>
      <c r="D18" s="11" t="n">
        <f aca="false">SUMIF(Dataset!$A$2:$A$201,B18,Dataset!$I$2:$I$201)</f>
        <v>2327.84</v>
      </c>
      <c r="E18" s="10" t="n">
        <f aca="false">COUNTIF(Dataset!$A$2:$A$201,B18)</f>
        <v>6</v>
      </c>
      <c r="F18" s="10" t="str">
        <f aca="false">IF(C18&gt;=$D$3,"High-Value","Standard")</f>
        <v>High-Value</v>
      </c>
    </row>
    <row r="19" customFormat="false" ht="15" hidden="false" customHeight="false" outlineLevel="0" collapsed="false">
      <c r="A19" s="10" t="n">
        <v>14</v>
      </c>
      <c r="B19" s="10" t="str">
        <f aca="false">INDEX('Top 10 Customers'!$A$4:$A$33,MATCH(C19,'Top 10 Customers'!$B$4:$B$33,0))</f>
        <v>CUST005</v>
      </c>
      <c r="C19" s="11" t="n">
        <f aca="false">LARGE('Top 10 Customers'!$B$4:$B$33,A19)</f>
        <v>6666.13</v>
      </c>
      <c r="D19" s="11" t="n">
        <f aca="false">SUMIF(Dataset!$A$2:$A$201,B19,Dataset!$I$2:$I$201)</f>
        <v>1982.39</v>
      </c>
      <c r="E19" s="10" t="n">
        <f aca="false">COUNTIF(Dataset!$A$2:$A$201,B19)</f>
        <v>6</v>
      </c>
      <c r="F19" s="10" t="str">
        <f aca="false">IF(C19&gt;=$D$3,"High-Value","Standard")</f>
        <v>High-Value</v>
      </c>
    </row>
    <row r="20" customFormat="false" ht="15" hidden="false" customHeight="false" outlineLevel="0" collapsed="false">
      <c r="A20" s="10" t="n">
        <v>15</v>
      </c>
      <c r="B20" s="10" t="str">
        <f aca="false">INDEX('Top 10 Customers'!$A$4:$A$33,MATCH(C20,'Top 10 Customers'!$B$4:$B$33,0))</f>
        <v>CUST001</v>
      </c>
      <c r="C20" s="11" t="n">
        <f aca="false">LARGE('Top 10 Customers'!$B$4:$B$33,A20)</f>
        <v>6549.55</v>
      </c>
      <c r="D20" s="11" t="n">
        <f aca="false">SUMIF(Dataset!$A$2:$A$201,B20,Dataset!$I$2:$I$201)</f>
        <v>1868.77</v>
      </c>
      <c r="E20" s="10" t="n">
        <f aca="false">COUNTIF(Dataset!$A$2:$A$201,B20)</f>
        <v>7</v>
      </c>
      <c r="F20" s="10" t="str">
        <f aca="false">IF(C20&gt;=$D$3,"High-Value","Standard")</f>
        <v>High-Value</v>
      </c>
    </row>
    <row r="21" customFormat="false" ht="15" hidden="false" customHeight="false" outlineLevel="0" collapsed="false">
      <c r="A21" s="10" t="n">
        <v>16</v>
      </c>
      <c r="B21" s="10" t="str">
        <f aca="false">INDEX('Top 10 Customers'!$A$4:$A$33,MATCH(C21,'Top 10 Customers'!$B$4:$B$33,0))</f>
        <v>CUST009</v>
      </c>
      <c r="C21" s="11" t="n">
        <f aca="false">LARGE('Top 10 Customers'!$B$4:$B$33,A21)</f>
        <v>6505.2</v>
      </c>
      <c r="D21" s="11" t="n">
        <f aca="false">SUMIF(Dataset!$A$2:$A$201,B21,Dataset!$I$2:$I$201)</f>
        <v>2052.54</v>
      </c>
      <c r="E21" s="10" t="n">
        <f aca="false">COUNTIF(Dataset!$A$2:$A$201,B21)</f>
        <v>7</v>
      </c>
      <c r="F21" s="10" t="str">
        <f aca="false">IF(C21&gt;=$D$3,"High-Value","Standard")</f>
        <v>Standard</v>
      </c>
    </row>
    <row r="22" customFormat="false" ht="15" hidden="false" customHeight="false" outlineLevel="0" collapsed="false">
      <c r="A22" s="10" t="n">
        <v>17</v>
      </c>
      <c r="B22" s="10" t="str">
        <f aca="false">INDEX('Top 10 Customers'!$A$4:$A$33,MATCH(C22,'Top 10 Customers'!$B$4:$B$33,0))</f>
        <v>CUST002</v>
      </c>
      <c r="C22" s="11" t="n">
        <f aca="false">LARGE('Top 10 Customers'!$B$4:$B$33,A22)</f>
        <v>6481.43</v>
      </c>
      <c r="D22" s="11" t="n">
        <f aca="false">SUMIF(Dataset!$A$2:$A$201,B22,Dataset!$I$2:$I$201)</f>
        <v>2210.74</v>
      </c>
      <c r="E22" s="10" t="n">
        <f aca="false">COUNTIF(Dataset!$A$2:$A$201,B22)</f>
        <v>6</v>
      </c>
      <c r="F22" s="10" t="str">
        <f aca="false">IF(C22&gt;=$D$3,"High-Value","Standard")</f>
        <v>Standard</v>
      </c>
    </row>
    <row r="23" customFormat="false" ht="15" hidden="false" customHeight="false" outlineLevel="0" collapsed="false">
      <c r="A23" s="10" t="n">
        <v>18</v>
      </c>
      <c r="B23" s="10" t="str">
        <f aca="false">INDEX('Top 10 Customers'!$A$4:$A$33,MATCH(C23,'Top 10 Customers'!$B$4:$B$33,0))</f>
        <v>CUST023</v>
      </c>
      <c r="C23" s="11" t="n">
        <f aca="false">LARGE('Top 10 Customers'!$B$4:$B$33,A23)</f>
        <v>5913.68</v>
      </c>
      <c r="D23" s="11" t="n">
        <f aca="false">SUMIF(Dataset!$A$2:$A$201,B23,Dataset!$I$2:$I$201)</f>
        <v>2198.62</v>
      </c>
      <c r="E23" s="10" t="n">
        <f aca="false">COUNTIF(Dataset!$A$2:$A$201,B23)</f>
        <v>7</v>
      </c>
      <c r="F23" s="10" t="str">
        <f aca="false">IF(C23&gt;=$D$3,"High-Value","Standard")</f>
        <v>Standard</v>
      </c>
    </row>
    <row r="24" customFormat="false" ht="15" hidden="false" customHeight="false" outlineLevel="0" collapsed="false">
      <c r="A24" s="10" t="n">
        <v>19</v>
      </c>
      <c r="B24" s="10" t="str">
        <f aca="false">INDEX('Top 10 Customers'!$A$4:$A$33,MATCH(C24,'Top 10 Customers'!$B$4:$B$33,0))</f>
        <v>CUST029</v>
      </c>
      <c r="C24" s="11" t="n">
        <f aca="false">LARGE('Top 10 Customers'!$B$4:$B$33,A24)</f>
        <v>5779.05</v>
      </c>
      <c r="D24" s="11" t="n">
        <f aca="false">SUMIF(Dataset!$A$2:$A$201,B24,Dataset!$I$2:$I$201)</f>
        <v>1611.66</v>
      </c>
      <c r="E24" s="10" t="n">
        <f aca="false">COUNTIF(Dataset!$A$2:$A$201,B24)</f>
        <v>7</v>
      </c>
      <c r="F24" s="10" t="str">
        <f aca="false">IF(C24&gt;=$D$3,"High-Value","Standard")</f>
        <v>Standard</v>
      </c>
    </row>
    <row r="25" customFormat="false" ht="15" hidden="false" customHeight="false" outlineLevel="0" collapsed="false">
      <c r="A25" s="10" t="n">
        <v>20</v>
      </c>
      <c r="B25" s="10" t="str">
        <f aca="false">INDEX('Top 10 Customers'!$A$4:$A$33,MATCH(C25,'Top 10 Customers'!$B$4:$B$33,0))</f>
        <v>CUST018</v>
      </c>
      <c r="C25" s="11" t="n">
        <f aca="false">LARGE('Top 10 Customers'!$B$4:$B$33,A25)</f>
        <v>4951.89</v>
      </c>
      <c r="D25" s="11" t="n">
        <f aca="false">SUMIF(Dataset!$A$2:$A$201,B25,Dataset!$I$2:$I$201)</f>
        <v>1821.64</v>
      </c>
      <c r="E25" s="10" t="n">
        <f aca="false">COUNTIF(Dataset!$A$2:$A$201,B25)</f>
        <v>5</v>
      </c>
      <c r="F25" s="10" t="str">
        <f aca="false">IF(C25&gt;=$D$3,"High-Value","Standard")</f>
        <v>Standard</v>
      </c>
    </row>
    <row r="26" customFormat="false" ht="15" hidden="false" customHeight="false" outlineLevel="0" collapsed="false">
      <c r="A26" s="10" t="n">
        <v>21</v>
      </c>
      <c r="B26" s="10" t="str">
        <f aca="false">INDEX('Top 10 Customers'!$A$4:$A$33,MATCH(C26,'Top 10 Customers'!$B$4:$B$33,0))</f>
        <v>CUST019</v>
      </c>
      <c r="C26" s="11" t="n">
        <f aca="false">LARGE('Top 10 Customers'!$B$4:$B$33,A26)</f>
        <v>4640.11</v>
      </c>
      <c r="D26" s="11" t="n">
        <f aca="false">SUMIF(Dataset!$A$2:$A$201,B26,Dataset!$I$2:$I$201)</f>
        <v>1721.12</v>
      </c>
      <c r="E26" s="10" t="n">
        <f aca="false">COUNTIF(Dataset!$A$2:$A$201,B26)</f>
        <v>5</v>
      </c>
      <c r="F26" s="10" t="str">
        <f aca="false">IF(C26&gt;=$D$3,"High-Value","Standard")</f>
        <v>Standard</v>
      </c>
    </row>
    <row r="27" customFormat="false" ht="15" hidden="false" customHeight="false" outlineLevel="0" collapsed="false">
      <c r="A27" s="10" t="n">
        <v>22</v>
      </c>
      <c r="B27" s="10" t="str">
        <f aca="false">INDEX('Top 10 Customers'!$A$4:$A$33,MATCH(C27,'Top 10 Customers'!$B$4:$B$33,0))</f>
        <v>CUST022</v>
      </c>
      <c r="C27" s="11" t="n">
        <f aca="false">LARGE('Top 10 Customers'!$B$4:$B$33,A27)</f>
        <v>4418.28</v>
      </c>
      <c r="D27" s="11" t="n">
        <f aca="false">SUMIF(Dataset!$A$2:$A$201,B27,Dataset!$I$2:$I$201)</f>
        <v>1605.23</v>
      </c>
      <c r="E27" s="10" t="n">
        <f aca="false">COUNTIF(Dataset!$A$2:$A$201,B27)</f>
        <v>5</v>
      </c>
      <c r="F27" s="10" t="str">
        <f aca="false">IF(C27&gt;=$D$3,"High-Value","Standard")</f>
        <v>Standard</v>
      </c>
    </row>
    <row r="28" customFormat="false" ht="15" hidden="false" customHeight="false" outlineLevel="0" collapsed="false">
      <c r="A28" s="10" t="n">
        <v>23</v>
      </c>
      <c r="B28" s="10" t="str">
        <f aca="false">INDEX('Top 10 Customers'!$A$4:$A$33,MATCH(C28,'Top 10 Customers'!$B$4:$B$33,0))</f>
        <v>CUST020</v>
      </c>
      <c r="C28" s="11" t="n">
        <f aca="false">LARGE('Top 10 Customers'!$B$4:$B$33,A28)</f>
        <v>4413.71</v>
      </c>
      <c r="D28" s="11" t="n">
        <f aca="false">SUMIF(Dataset!$A$2:$A$201,B28,Dataset!$I$2:$I$201)</f>
        <v>1664.79</v>
      </c>
      <c r="E28" s="10" t="n">
        <f aca="false">COUNTIF(Dataset!$A$2:$A$201,B28)</f>
        <v>4</v>
      </c>
      <c r="F28" s="10" t="str">
        <f aca="false">IF(C28&gt;=$D$3,"High-Value","Standard")</f>
        <v>Standard</v>
      </c>
    </row>
    <row r="29" customFormat="false" ht="15" hidden="false" customHeight="false" outlineLevel="0" collapsed="false">
      <c r="A29" s="10" t="n">
        <v>24</v>
      </c>
      <c r="B29" s="10" t="str">
        <f aca="false">INDEX('Top 10 Customers'!$A$4:$A$33,MATCH(C29,'Top 10 Customers'!$B$4:$B$33,0))</f>
        <v>CUST010</v>
      </c>
      <c r="C29" s="11" t="n">
        <f aca="false">LARGE('Top 10 Customers'!$B$4:$B$33,A29)</f>
        <v>4259.22</v>
      </c>
      <c r="D29" s="11" t="n">
        <f aca="false">SUMIF(Dataset!$A$2:$A$201,B29,Dataset!$I$2:$I$201)</f>
        <v>1529.32</v>
      </c>
      <c r="E29" s="10" t="n">
        <f aca="false">COUNTIF(Dataset!$A$2:$A$201,B29)</f>
        <v>5</v>
      </c>
      <c r="F29" s="10" t="str">
        <f aca="false">IF(C29&gt;=$D$3,"High-Value","Standard")</f>
        <v>Standard</v>
      </c>
    </row>
    <row r="30" customFormat="false" ht="15" hidden="false" customHeight="false" outlineLevel="0" collapsed="false">
      <c r="A30" s="10" t="n">
        <v>25</v>
      </c>
      <c r="B30" s="10" t="str">
        <f aca="false">INDEX('Top 10 Customers'!$A$4:$A$33,MATCH(C30,'Top 10 Customers'!$B$4:$B$33,0))</f>
        <v>CUST013</v>
      </c>
      <c r="C30" s="11" t="n">
        <f aca="false">LARGE('Top 10 Customers'!$B$4:$B$33,A30)</f>
        <v>4162.44</v>
      </c>
      <c r="D30" s="11" t="n">
        <f aca="false">SUMIF(Dataset!$A$2:$A$201,B30,Dataset!$I$2:$I$201)</f>
        <v>1605.11</v>
      </c>
      <c r="E30" s="10" t="n">
        <f aca="false">COUNTIF(Dataset!$A$2:$A$201,B30)</f>
        <v>4</v>
      </c>
      <c r="F30" s="10" t="str">
        <f aca="false">IF(C30&gt;=$D$3,"High-Value","Standard")</f>
        <v>Standard</v>
      </c>
    </row>
    <row r="31" customFormat="false" ht="15" hidden="false" customHeight="false" outlineLevel="0" collapsed="false">
      <c r="A31" s="10" t="n">
        <v>26</v>
      </c>
      <c r="B31" s="10" t="str">
        <f aca="false">INDEX('Top 10 Customers'!$A$4:$A$33,MATCH(C31,'Top 10 Customers'!$B$4:$B$33,0))</f>
        <v>CUST027</v>
      </c>
      <c r="C31" s="11" t="n">
        <f aca="false">LARGE('Top 10 Customers'!$B$4:$B$33,A31)</f>
        <v>3906.04</v>
      </c>
      <c r="D31" s="11" t="n">
        <f aca="false">SUMIF(Dataset!$A$2:$A$201,B31,Dataset!$I$2:$I$201)</f>
        <v>1240.65</v>
      </c>
      <c r="E31" s="10" t="n">
        <f aca="false">COUNTIF(Dataset!$A$2:$A$201,B31)</f>
        <v>5</v>
      </c>
      <c r="F31" s="10" t="str">
        <f aca="false">IF(C31&gt;=$D$3,"High-Value","Standard")</f>
        <v>Standard</v>
      </c>
    </row>
    <row r="32" customFormat="false" ht="15" hidden="false" customHeight="false" outlineLevel="0" collapsed="false">
      <c r="A32" s="10" t="n">
        <v>27</v>
      </c>
      <c r="B32" s="10" t="str">
        <f aca="false">INDEX('Top 10 Customers'!$A$4:$A$33,MATCH(C32,'Top 10 Customers'!$B$4:$B$33,0))</f>
        <v>CUST011</v>
      </c>
      <c r="C32" s="11" t="n">
        <f aca="false">LARGE('Top 10 Customers'!$B$4:$B$33,A32)</f>
        <v>3762.29</v>
      </c>
      <c r="D32" s="11" t="n">
        <f aca="false">SUMIF(Dataset!$A$2:$A$201,B32,Dataset!$I$2:$I$201)</f>
        <v>1545.04</v>
      </c>
      <c r="E32" s="10" t="n">
        <f aca="false">COUNTIF(Dataset!$A$2:$A$201,B32)</f>
        <v>4</v>
      </c>
      <c r="F32" s="10" t="str">
        <f aca="false">IF(C32&gt;=$D$3,"High-Value","Standard")</f>
        <v>Standard</v>
      </c>
    </row>
    <row r="33" customFormat="false" ht="15" hidden="false" customHeight="false" outlineLevel="0" collapsed="false">
      <c r="A33" s="10" t="n">
        <v>28</v>
      </c>
      <c r="B33" s="10" t="str">
        <f aca="false">INDEX('Top 10 Customers'!$A$4:$A$33,MATCH(C33,'Top 10 Customers'!$B$4:$B$33,0))</f>
        <v>CUST017</v>
      </c>
      <c r="C33" s="11" t="n">
        <f aca="false">LARGE('Top 10 Customers'!$B$4:$B$33,A33)</f>
        <v>3419.2</v>
      </c>
      <c r="D33" s="11" t="n">
        <f aca="false">SUMIF(Dataset!$A$2:$A$201,B33,Dataset!$I$2:$I$201)</f>
        <v>1257.21</v>
      </c>
      <c r="E33" s="10" t="n">
        <f aca="false">COUNTIF(Dataset!$A$2:$A$201,B33)</f>
        <v>4</v>
      </c>
      <c r="F33" s="10" t="str">
        <f aca="false">IF(C33&gt;=$D$3,"High-Value","Standard")</f>
        <v>Standard</v>
      </c>
    </row>
    <row r="34" customFormat="false" ht="15" hidden="false" customHeight="false" outlineLevel="0" collapsed="false">
      <c r="A34" s="10" t="n">
        <v>29</v>
      </c>
      <c r="B34" s="10" t="str">
        <f aca="false">INDEX('Top 10 Customers'!$A$4:$A$33,MATCH(C34,'Top 10 Customers'!$B$4:$B$33,0))</f>
        <v>CUST016</v>
      </c>
      <c r="C34" s="11" t="n">
        <f aca="false">LARGE('Top 10 Customers'!$B$4:$B$33,A34)</f>
        <v>3369.17</v>
      </c>
      <c r="D34" s="11" t="n">
        <f aca="false">SUMIF(Dataset!$A$2:$A$201,B34,Dataset!$I$2:$I$201)</f>
        <v>1497.25</v>
      </c>
      <c r="E34" s="10" t="n">
        <f aca="false">COUNTIF(Dataset!$A$2:$A$201,B34)</f>
        <v>4</v>
      </c>
      <c r="F34" s="10" t="str">
        <f aca="false">IF(C34&gt;=$D$3,"High-Value","Standard")</f>
        <v>Standard</v>
      </c>
    </row>
    <row r="35" customFormat="false" ht="15" hidden="false" customHeight="false" outlineLevel="0" collapsed="false">
      <c r="A35" s="10" t="n">
        <v>30</v>
      </c>
      <c r="B35" s="10" t="str">
        <f aca="false">INDEX('Top 10 Customers'!$A$4:$A$33,MATCH(C35,'Top 10 Customers'!$B$4:$B$33,0))</f>
        <v>CUST006</v>
      </c>
      <c r="C35" s="11" t="n">
        <f aca="false">LARGE('Top 10 Customers'!$B$4:$B$33,A35)</f>
        <v>2699.75</v>
      </c>
      <c r="D35" s="11" t="n">
        <f aca="false">SUMIF(Dataset!$A$2:$A$201,B35,Dataset!$I$2:$I$201)</f>
        <v>837.06</v>
      </c>
      <c r="E35" s="10" t="n">
        <f aca="false">COUNTIF(Dataset!$A$2:$A$201,B35)</f>
        <v>2</v>
      </c>
      <c r="F35" s="10" t="str">
        <f aca="false">IF(C35&gt;=$D$3,"High-Value","Standard")</f>
        <v>Standard</v>
      </c>
    </row>
    <row r="37" customFormat="false" ht="15" hidden="false" customHeight="false" outlineLevel="0" collapsed="false">
      <c r="A37" s="4" t="s">
        <v>152</v>
      </c>
      <c r="C37" s="9" t="str">
        <f aca="false">IF(SUM(C6:C35)=SUM(Dataset!$E$2:$E$201),"✔ ties to total sales","check for tied totals")</f>
        <v>✔ ties to total sales</v>
      </c>
    </row>
  </sheetData>
  <autoFilter ref="A5:F35"/>
  <conditionalFormatting sqref="A6:F35">
    <cfRule type="expression" priority="2" aboveAverage="0" equalAverage="0" bottom="0" percent="0" rank="0" text="" dxfId="5">
      <formula>$F6="High-Value"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7" min="2" style="0" width="15"/>
  </cols>
  <sheetData>
    <row r="1" customFormat="false" ht="17.35" hidden="false" customHeight="false" outlineLevel="0" collapsed="false">
      <c r="A1" s="1" t="s">
        <v>153</v>
      </c>
    </row>
    <row r="3" customFormat="false" ht="15" hidden="false" customHeight="false" outlineLevel="0" collapsed="false">
      <c r="A3" s="12" t="s">
        <v>154</v>
      </c>
    </row>
    <row r="4" customFormat="false" ht="15" hidden="false" customHeight="false" outlineLevel="0" collapsed="false">
      <c r="A4" s="3" t="s">
        <v>4</v>
      </c>
      <c r="B4" s="3" t="s">
        <v>15</v>
      </c>
      <c r="C4" s="3" t="s">
        <v>18</v>
      </c>
      <c r="D4" s="3" t="s">
        <v>24</v>
      </c>
      <c r="E4" s="3" t="s">
        <v>30</v>
      </c>
      <c r="F4" s="3" t="s">
        <v>42</v>
      </c>
      <c r="G4" s="3" t="s">
        <v>155</v>
      </c>
    </row>
    <row r="5" customFormat="false" ht="15" hidden="false" customHeight="false" outlineLevel="0" collapsed="false">
      <c r="A5" s="10" t="s">
        <v>37</v>
      </c>
      <c r="B5" s="11" t="n">
        <f aca="false">SUMIFS(Dataset!$E$2:$E$201,Dataset!$C$2:$C$201,$A5,Dataset!$D$2:$D$201,B$4)</f>
        <v>11297.15</v>
      </c>
      <c r="C5" s="11" t="n">
        <f aca="false">SUMIFS(Dataset!$E$2:$E$201,Dataset!$C$2:$C$201,$A5,Dataset!$D$2:$D$201,C$4)</f>
        <v>12200.26</v>
      </c>
      <c r="D5" s="11" t="n">
        <f aca="false">SUMIFS(Dataset!$E$2:$E$201,Dataset!$C$2:$C$201,$A5,Dataset!$D$2:$D$201,D$4)</f>
        <v>6621.24</v>
      </c>
      <c r="E5" s="11" t="n">
        <f aca="false">SUMIFS(Dataset!$E$2:$E$201,Dataset!$C$2:$C$201,$A5,Dataset!$D$2:$D$201,E$4)</f>
        <v>4876.96</v>
      </c>
      <c r="F5" s="11" t="n">
        <f aca="false">SUMIFS(Dataset!$E$2:$E$201,Dataset!$C$2:$C$201,$A5,Dataset!$D$2:$D$201,F$4)</f>
        <v>8472.72</v>
      </c>
      <c r="G5" s="11" t="n">
        <f aca="false">SUM(B5:F5)</f>
        <v>43468.33</v>
      </c>
    </row>
    <row r="6" customFormat="false" ht="15" hidden="false" customHeight="false" outlineLevel="0" collapsed="false">
      <c r="A6" s="10" t="s">
        <v>21</v>
      </c>
      <c r="B6" s="11" t="n">
        <f aca="false">SUMIFS(Dataset!$E$2:$E$201,Dataset!$C$2:$C$201,$A6,Dataset!$D$2:$D$201,B$4)</f>
        <v>11389.09</v>
      </c>
      <c r="C6" s="11" t="n">
        <f aca="false">SUMIFS(Dataset!$E$2:$E$201,Dataset!$C$2:$C$201,$A6,Dataset!$D$2:$D$201,C$4)</f>
        <v>2401.45</v>
      </c>
      <c r="D6" s="11" t="n">
        <f aca="false">SUMIFS(Dataset!$E$2:$E$201,Dataset!$C$2:$C$201,$A6,Dataset!$D$2:$D$201,D$4)</f>
        <v>2869.54</v>
      </c>
      <c r="E6" s="11" t="n">
        <f aca="false">SUMIFS(Dataset!$E$2:$E$201,Dataset!$C$2:$C$201,$A6,Dataset!$D$2:$D$201,E$4)</f>
        <v>7592.34</v>
      </c>
      <c r="F6" s="11" t="n">
        <f aca="false">SUMIFS(Dataset!$E$2:$E$201,Dataset!$C$2:$C$201,$A6,Dataset!$D$2:$D$201,F$4)</f>
        <v>8189.22</v>
      </c>
      <c r="G6" s="11" t="n">
        <f aca="false">SUM(B6:F6)</f>
        <v>32441.64</v>
      </c>
    </row>
    <row r="7" customFormat="false" ht="15" hidden="false" customHeight="false" outlineLevel="0" collapsed="false">
      <c r="A7" s="10" t="s">
        <v>27</v>
      </c>
      <c r="B7" s="11" t="n">
        <f aca="false">SUMIFS(Dataset!$E$2:$E$201,Dataset!$C$2:$C$201,$A7,Dataset!$D$2:$D$201,B$4)</f>
        <v>8037.01</v>
      </c>
      <c r="C7" s="11" t="n">
        <f aca="false">SUMIFS(Dataset!$E$2:$E$201,Dataset!$C$2:$C$201,$A7,Dataset!$D$2:$D$201,C$4)</f>
        <v>8422.82</v>
      </c>
      <c r="D7" s="11" t="n">
        <f aca="false">SUMIFS(Dataset!$E$2:$E$201,Dataset!$C$2:$C$201,$A7,Dataset!$D$2:$D$201,D$4)</f>
        <v>8191.71</v>
      </c>
      <c r="E7" s="11" t="n">
        <f aca="false">SUMIFS(Dataset!$E$2:$E$201,Dataset!$C$2:$C$201,$A7,Dataset!$D$2:$D$201,E$4)</f>
        <v>6978.08</v>
      </c>
      <c r="F7" s="11" t="n">
        <f aca="false">SUMIFS(Dataset!$E$2:$E$201,Dataset!$C$2:$C$201,$A7,Dataset!$D$2:$D$201,F$4)</f>
        <v>3345.8</v>
      </c>
      <c r="G7" s="11" t="n">
        <f aca="false">SUM(B7:F7)</f>
        <v>34975.42</v>
      </c>
    </row>
    <row r="8" customFormat="false" ht="15" hidden="false" customHeight="false" outlineLevel="0" collapsed="false">
      <c r="A8" s="10" t="s">
        <v>23</v>
      </c>
      <c r="B8" s="11" t="n">
        <f aca="false">SUMIFS(Dataset!$E$2:$E$201,Dataset!$C$2:$C$201,$A8,Dataset!$D$2:$D$201,B$4)</f>
        <v>9588.04</v>
      </c>
      <c r="C8" s="11" t="n">
        <f aca="false">SUMIFS(Dataset!$E$2:$E$201,Dataset!$C$2:$C$201,$A8,Dataset!$D$2:$D$201,C$4)</f>
        <v>8393.63</v>
      </c>
      <c r="D8" s="11" t="n">
        <f aca="false">SUMIFS(Dataset!$E$2:$E$201,Dataset!$C$2:$C$201,$A8,Dataset!$D$2:$D$201,D$4)</f>
        <v>11989.07</v>
      </c>
      <c r="E8" s="11" t="n">
        <f aca="false">SUMIFS(Dataset!$E$2:$E$201,Dataset!$C$2:$C$201,$A8,Dataset!$D$2:$D$201,E$4)</f>
        <v>7982.73</v>
      </c>
      <c r="F8" s="11" t="n">
        <f aca="false">SUMIFS(Dataset!$E$2:$E$201,Dataset!$C$2:$C$201,$A8,Dataset!$D$2:$D$201,F$4)</f>
        <v>2295.32</v>
      </c>
      <c r="G8" s="11" t="n">
        <f aca="false">SUM(B8:F8)</f>
        <v>40248.79</v>
      </c>
    </row>
    <row r="9" customFormat="false" ht="15" hidden="false" customHeight="false" outlineLevel="0" collapsed="false">
      <c r="A9" s="10" t="s">
        <v>14</v>
      </c>
      <c r="B9" s="11" t="n">
        <f aca="false">SUMIFS(Dataset!$E$2:$E$201,Dataset!$C$2:$C$201,$A9,Dataset!$D$2:$D$201,B$4)</f>
        <v>6691.17</v>
      </c>
      <c r="C9" s="11" t="n">
        <f aca="false">SUMIFS(Dataset!$E$2:$E$201,Dataset!$C$2:$C$201,$A9,Dataset!$D$2:$D$201,C$4)</f>
        <v>10509.43</v>
      </c>
      <c r="D9" s="11" t="n">
        <f aca="false">SUMIFS(Dataset!$E$2:$E$201,Dataset!$C$2:$C$201,$A9,Dataset!$D$2:$D$201,D$4)</f>
        <v>11372.44</v>
      </c>
      <c r="E9" s="11" t="n">
        <f aca="false">SUMIFS(Dataset!$E$2:$E$201,Dataset!$C$2:$C$201,$A9,Dataset!$D$2:$D$201,E$4)</f>
        <v>9182.78</v>
      </c>
      <c r="F9" s="11" t="n">
        <f aca="false">SUMIFS(Dataset!$E$2:$E$201,Dataset!$C$2:$C$201,$A9,Dataset!$D$2:$D$201,F$4)</f>
        <v>6327.76</v>
      </c>
      <c r="G9" s="11" t="n">
        <f aca="false">SUM(B9:F9)</f>
        <v>44083.58</v>
      </c>
    </row>
    <row r="10" customFormat="false" ht="15" hidden="false" customHeight="false" outlineLevel="0" collapsed="false">
      <c r="A10" s="27" t="s">
        <v>155</v>
      </c>
      <c r="B10" s="28" t="n">
        <f aca="false">SUM(B5:B9)</f>
        <v>47002.46</v>
      </c>
      <c r="C10" s="28" t="n">
        <f aca="false">SUM(C5:C9)</f>
        <v>41927.59</v>
      </c>
      <c r="D10" s="28" t="n">
        <f aca="false">SUM(D5:D9)</f>
        <v>41044</v>
      </c>
      <c r="E10" s="28" t="n">
        <f aca="false">SUM(E5:E9)</f>
        <v>36612.89</v>
      </c>
      <c r="F10" s="28" t="n">
        <f aca="false">SUM(F5:F9)</f>
        <v>28630.82</v>
      </c>
      <c r="G10" s="28" t="n">
        <f aca="false">SUM(G5:G9)</f>
        <v>195217.76</v>
      </c>
    </row>
    <row r="12" customFormat="false" ht="15" hidden="false" customHeight="false" outlineLevel="0" collapsed="false">
      <c r="A12" s="4" t="s">
        <v>156</v>
      </c>
      <c r="B12" s="9" t="str">
        <f aca="false">IF(ROUND(G10-SUM(Dataset!$E$2:$E$201),2)=0,"✔ ties","check")</f>
        <v>✔ ties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20"/>
    <col collapsed="false" customWidth="true" hidden="false" outlineLevel="0" max="12" min="6" style="0" width="12"/>
  </cols>
  <sheetData>
    <row r="1" customFormat="false" ht="22.05" hidden="false" customHeight="false" outlineLevel="0" collapsed="false">
      <c r="A1" s="29" t="s">
        <v>157</v>
      </c>
    </row>
    <row r="3" customFormat="false" ht="15" hidden="false" customHeight="false" outlineLevel="0" collapsed="false">
      <c r="A3" s="30" t="s">
        <v>158</v>
      </c>
      <c r="B3" s="30" t="s">
        <v>159</v>
      </c>
      <c r="C3" s="30" t="s">
        <v>97</v>
      </c>
      <c r="D3" s="30" t="s">
        <v>160</v>
      </c>
      <c r="E3" s="30" t="s">
        <v>161</v>
      </c>
    </row>
    <row r="4" customFormat="false" ht="27.75" hidden="false" customHeight="true" outlineLevel="0" collapsed="false">
      <c r="A4" s="31" t="n">
        <f aca="false">SUM(Dataset!$E$2:$E$201)</f>
        <v>195217.76</v>
      </c>
      <c r="B4" s="31" t="n">
        <f aca="false">SUM(Dataset!$I$2:$I$201)</f>
        <v>68287.01</v>
      </c>
      <c r="C4" s="32" t="n">
        <f aca="false">B4/A4</f>
        <v>0.349799167862596</v>
      </c>
      <c r="D4" s="33" t="n">
        <f aca="false">COUNTA(Dataset!$A$2:$A$201)</f>
        <v>200</v>
      </c>
      <c r="E4" s="32" t="n">
        <f aca="false">AVERAGE(Dataset!$G$2:$G$201)</f>
        <v>0.09725</v>
      </c>
    </row>
    <row r="6" customFormat="false" ht="15" hidden="false" customHeight="false" outlineLevel="0" collapsed="false">
      <c r="A6" s="34" t="s">
        <v>162</v>
      </c>
    </row>
    <row r="7" customFormat="false" ht="15" hidden="false" customHeight="false" outlineLevel="0" collapsed="false">
      <c r="A7" s="4" t="str">
        <f aca="false">"Top region by sales: "&amp;INDEX('Pivot Table'!A5:A9,MATCH(MAX('Pivot Table'!G5:G9),'Pivot Table'!G5:G9,0))&amp;" (₹"&amp;TEXT(MAX('Pivot Table'!G5:G9),"#,##0")&amp;", "&amp;TEXT(MAX('Pivot Table'!G5:G9)/'Pivot Table'!G10,"0.0%")&amp;" of total)."</f>
        <v>Top region by sales: West (₹44,084, 22.6% of total).</v>
      </c>
    </row>
    <row r="8" customFormat="false" ht="15" hidden="false" customHeight="false" outlineLevel="0" collapsed="false">
      <c r="A8" s="4" t="str">
        <f aca="false">"Top product category by sales: "&amp;INDEX('Pivot Table'!B4:F4,MATCH(MAX('Pivot Table'!B10:F10),'Pivot Table'!B10:F10,0))&amp;" (₹"&amp;TEXT(MAX('Pivot Table'!B10:F10),"#,##0")&amp;")."</f>
        <v>Top product category by sales: Books (₹47,002).</v>
      </c>
    </row>
    <row r="9" customFormat="false" ht="15" hidden="false" customHeight="false" outlineLevel="0" collapsed="false">
      <c r="A9" s="4" t="str">
        <f aca="false">"Best month: "&amp;TEXT(INDEX('Sales Growth'!A4:A16,MATCH(MAX('Sales Growth'!B4:B16),'Sales Growth'!B4:B16,0)),"mmm-yyyy")&amp;" (₹"&amp;TEXT(MAX('Sales Growth'!B4:B16),"#,##0")&amp;"); weakest: "&amp;TEXT(INDEX('Sales Growth'!A4:A16,MATCH(MIN('Sales Growth'!B4:B16),'Sales Growth'!B4:B16,0)),"mmm-yyyy")&amp;" (₹"&amp;TEXT(MIN('Sales Growth'!B4:B16),"#,##0")&amp;")."</f>
        <v>Best month: Sep-2024 (₹20,534); weakest: Apr-2025 (₹3,212).</v>
      </c>
    </row>
    <row r="10" customFormat="false" ht="15" hidden="false" customHeight="false" outlineLevel="0" collapsed="false">
      <c r="A10" s="4" t="str">
        <f aca="false">"Regression: Profit ≈ "&amp;TEXT(Regression!B18,"0.00")&amp;" + "&amp;TEXT(Regression!B19,"0.000")&amp;" × Sales (R² = "&amp;TEXT(Regression!B6,"0.00")&amp;")."</f>
        <v>Regression: Profit ≈ -1.03 + 0.351 × Sales (R² = 0.60).</v>
      </c>
    </row>
    <row r="11" customFormat="false" ht="15" hidden="false" customHeight="false" outlineLevel="0" collapsed="false">
      <c r="A11" s="4" t="str">
        <f aca="false">"High-value customers (above-average total purchase): "&amp;COUNTIF('High-Value Customers'!F6:F35,"High-Value")&amp;" of 30; the top 10 account for "&amp;TEXT(SUMIF('Top 10 Customers'!C4:C33,"&lt;=10",'Top 10 Customers'!B4:B33)/A4,"0.0%")&amp;" of sales."</f>
        <v>High-value customers (above-average total purchase): 15 of 30; the top 10 account for 47.3% of sales.</v>
      </c>
    </row>
    <row r="12" customFormat="false" ht="15" hidden="false" customHeight="false" outlineLevel="0" collapsed="false">
      <c r="A12" s="4" t="str">
        <f aca="false">"What-if: moving the discount to "&amp;TEXT('What-If Analysis'!B8,"0%")&amp;" changes total profit by "&amp;TEXT('What-If Analysis'!B11,"₹#,##0;-₹#,##0")&amp;" ("&amp;TEXT('What-If Analysis'!B12,"0.0%;-0.0%")&amp;")."</f>
        <v>What-if: moving the discount to 10% changes total profit by ₹1,007 (1.5%).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2026-10-08T10:07:07Z</dcterms:created>
  <dc:creator>openpyxl</dc:creator>
  <dc:description/>
  <dc:language>en-US</dc:language>
  <cp:lastModifiedBy/>
  <dcterms:modified xsi:type="dcterms:W3CDTF">2026-10-08T15:37:09Z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